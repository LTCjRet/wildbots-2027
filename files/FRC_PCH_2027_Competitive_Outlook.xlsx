
<file path=[Content_Types].xml><?xml version="1.0" encoding="utf-8"?>
<Types xmlns="http://schemas.openxmlformats.org/package/2006/content-types">
  <Default Extension="xml" ContentType="application/xml"/>
  <Default Extension="rels" ContentType="application/vnd.openxmlformats-package.relationships+xml"/>
  <Default Extension="png" ContentType="image/png"/>
  <Default Extension="jpeg" ContentType="image/jpeg"/>
  <Override PartName="/xl/_rels/workbook.xml.rels" ContentType="application/vnd.openxmlformats-package.relationships+xml"/>
  <Override PartName="/xl/workbook.xml" ContentType="application/vnd.openxmlformats-officedocument.spreadsheetml.sheet.main+xml"/>
  <Override PartName="/xl/comments7.xml" ContentType="application/vnd.openxmlformats-officedocument.spreadsheetml.comments+xml"/>
  <Override PartName="/xl/theme/theme1.xml" ContentType="application/vnd.openxmlformats-officedocument.theme+xml"/>
  <Override PartName="/xl/styles.xml" ContentType="application/vnd.openxmlformats-officedocument.spreadsheetml.styl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_rels/sheet7.xml.rels" ContentType="application/vnd.openxmlformats-package.relationships+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sharedStrings.xml" ContentType="application/vnd.openxmlformats-officedocument.spreadsheetml.sharedStrings+xml"/>
  <Override PartName="/xl/drawings/vmlDrawing1.vml" ContentType="application/vnd.openxmlformats-officedocument.vmlDrawing"/>
  <Override PartName="/_rels/.rels" ContentType="application/vnd.openxmlformats-package.relationship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fileVersion appName="Calc"/>
  <workbookPr backupFile="false" showObjects="all" date1904="false"/>
  <workbookProtection/>
  <bookViews>
    <workbookView showHorizontalScroll="true" showVerticalScroll="true" showSheetTabs="true" xWindow="0" yWindow="0" windowWidth="16384" windowHeight="8192" tabRatio="500" firstSheet="0" activeTab="0"/>
  </bookViews>
  <sheets>
    <sheet name="README" sheetId="1" state="visible" r:id="rId3"/>
    <sheet name="Recommendation" sheetId="2" state="visible" r:id="rId4"/>
    <sheet name="Planner 3329" sheetId="3" state="visible" r:id="rId5"/>
    <sheet name="Events 2027" sheetId="4" state="visible" r:id="rId6"/>
    <sheet name="Forecast 2027" sheetId="5" state="visible" r:id="rId7"/>
    <sheet name="Fields 2027" sheetId="6" state="visible" r:id="rId8"/>
    <sheet name="Strength" sheetId="7" state="visible" r:id="rId9"/>
    <sheet name="Results 2026" sheetId="8" state="visible" r:id="rId10"/>
    <sheet name="Review 2026" sheetId="9" state="visible" r:id="rId11"/>
    <sheet name="Drive Times" sheetId="10" state="visible" r:id="rId12"/>
    <sheet name="Assumptions" sheetId="11" state="visible" r:id="rId13"/>
  </sheets>
  <calcPr iterateCount="100" refMode="A1" iterate="false" iterateDelta="0.0001"/>
  <extLst>
    <ext xmlns:loext="http://schemas.libreoffice.org/" uri="{7626C862-2A13-11E5-B345-FEFF819CDC9F}">
      <loext:extCalcPr stringRefSyntax="ExcelA1"/>
    </ext>
  </extLst>
</workbook>
</file>

<file path=xl/comments7.xml><?xml version="1.0" encoding="utf-8"?>
<comments xmlns="http://schemas.openxmlformats.org/spreadsheetml/2006/main" xmlns:xdr="http://schemas.openxmlformats.org/drawingml/2006/spreadsheetDrawing">
  <authors>
    <author>Unknown Author</author>
  </authors>
  <commentList>
    <comment ref="Q1" authorId="0">
      <text>
        <r>
          <rPr>
            <sz val="10"/>
            <rFont val="Arial"/>
            <family val="2"/>
          </rPr>
          <t xml:space="preserve">Optional: paste 2026 end-of-season Statbotics EPA. When 2+ values are present the blend uses Assumptions!B6.</t>
        </r>
      </text>
    </comment>
  </commentList>
</comments>
</file>

<file path=xl/sharedStrings.xml><?xml version="1.0" encoding="utf-8"?>
<sst xmlns="http://schemas.openxmlformats.org/spreadsheetml/2006/main" count="1480" uniqueCount="552">
  <si>
    <t xml:space="preserve">FRC Peachtree District (PCH) — 2027 Competitive Outlook</t>
  </si>
  <si>
    <t xml:space="preserve">Rebuilt for the 2027 season from the 2025-based 2026 outlook, updated with official 2026 results. Built Sept 23, 2026.</t>
  </si>
  <si>
    <t xml:space="preserve">WHAT CHANGED FOR 2027</t>
  </si>
  <si>
    <t xml:space="preserve">• Columbus (GACOL) is not on the 2027 schedule. A new PCH District Douglasville Event (GADOU) takes Week 5.</t>
  </si>
  <si>
    <t xml:space="preserve">• Weeks reshuffled: Dalton W1, Gainesville W2 (was W5), Gwinnett W3 (was W2), Albany W4, Douglasville W5, DCMP at Mercer W6 (Apr 7–9).</t>
  </si>
  <si>
    <t xml:space="preserve">• Posted capacities total 149 team-slots (30/30/30/29/30). 74 active PCH teams × 2 events = 148, so every event is forecast to run essentially full.</t>
  </si>
  <si>
    <t xml:space="preserve">SHEETS</t>
  </si>
  <si>
    <t xml:space="preserve">Recommendation — the final Round 1 and Round 2 preference lists for 3329, the outcome of each lottery result, and the bottom line. Numbers link live to the planner.</t>
  </si>
  <si>
    <t xml:space="preserve">Assumptions — every weight and coefficient the formulas use (yellow cells are levers you can change), followed from row 37 by a numbered, plain-language list of every assumption behind the predictions: what it is, what it rests on, and what happens if it is wrong.</t>
  </si>
  <si>
    <t xml:space="preserve">Events 2027 — forecast attendance and competitive density per event, with the 2026 actual density alongside.</t>
  </si>
  <si>
    <t xml:space="preserve">Forecast 2027 — predicted two events for all 74 teams. Event codes in blue are editable: change one and every density/planner figure recalculates.</t>
  </si>
  <si>
    <t xml:space="preserve">Fields 2027 — team-by-event matrix of predicted fields, shaded by strength (red ≥ 70, orange 45–70, yellow below 45).</t>
  </si>
  <si>
    <t xml:space="preserve">Planner 3329 — expected district points for 3329 at each 2027 event and for all 10 two-event combinations, against the DCMP cut line. Change the focus team on Assumptions to plan for any team.</t>
  </si>
  <si>
    <t xml:space="preserve">Strength — blended strength score for every team (district points + qualification W-L + optional EPA).</t>
  </si>
  <si>
    <t xml:space="preserve">Results 2026 — official qualification records and district points per team per event.</t>
  </si>
  <si>
    <t xml:space="preserve">Review 2026 — how the original 2026 predictions did, and how this model backtests.</t>
  </si>
  <si>
    <t xml:space="preserve">Drive Times — estimated drive hours from each team city to each venue (live formulas).</t>
  </si>
  <si>
    <t xml:space="preserve">METHOD</t>
  </si>
  <si>
    <t xml:space="preserve">Attendance: each team scores every possible pair of 2027 events. Score = 3.0 × venue loyalty (recency-weighted past attendance: 2026 = 1.0, 2025 = 0.6, 2024 = 0.4, 2023 = 0.25, 2022 = 0.15) − 1.0 × drive hours per event − 1.0 if the events are back-to-back weeks − 0.25 if they are 4 weeks apart. Each team gets its best pair, then teams are moved out of over-capacity events, fewest-regret first.</t>
  </si>
  <si>
    <t xml:space="preserve">Pre-2026 venue history exists only for the 27 teams tracked in the original workbook; the other teams rely on 2026 attendance plus drive time.</t>
  </si>
  <si>
    <t xml:space="preserve">Backtest: run on the 2026 schedule using only pre-2026 information, the model matched 89 of 148 actual event picks (60%); for the 25 legacy teams it matched 32 of 50 (64%) vs 29 of 54 (54%) for the original hand predictions. Random picking would score 40%.</t>
  </si>
  <si>
    <t xml:space="preserve">Strength: min-max scale (0–100) of 2026 average district points per event and pooled qualification win % (ties = ½ win), blended 40% / 25%. If you enter Statbotics EPA values the blend becomes 40/25/35 automatically; blanks are ignored and weights renormalize.</t>
  </si>
  <si>
    <t xml:space="preserve">Expected event points (planner): points ≈ 79.09 − 19.58 × ln(1 + k), where k = number of stronger teams in the field. Fitted on all 148 team-events of 2026 (R² 0.81). k uses the same strength score, which partly contains event points, so treat it as a ranking guide rather than an exact prediction.</t>
  </si>
  <si>
    <t xml:space="preserve">DCMP cut: in 2026 the 45th pre-DCMP total was about 49–51 points. Planner uses 50 as the cut and 60 as a safe target (editable).</t>
  </si>
  <si>
    <t xml:space="preserve">Qualification chance (planner): probability the expected pre-DCMP total clears the cut, using the model's 2026 error (±8 pts per event), an assumed ±6 pts per event of 2027 robot-strength uncertainty and ±3 pts of cut-line uncertainty (all on Assumptions). The Registration outcomes block shows the result of each lottery combination, including getting the second choice in both rounds.</t>
  </si>
  <si>
    <t xml:space="preserve">CAVEATS</t>
  </si>
  <si>
    <t xml:space="preserve">• 2027 is a new game (BIOCORE); team strength will shift through graduation, mentors and game fit. Strength is 2026-based.</t>
  </si>
  <si>
    <t xml:space="preserve">• Rookie teams and late registrations are not modeled; FIRST registration priority/lottery can override preferences.</t>
  </si>
  <si>
    <t xml:space="preserve">• Team 8872 did not play in 2026 and is excluded. Teams 9260 and 6944 from the original list did not compete in 2026.</t>
  </si>
  <si>
    <t xml:space="preserve">• Drive times are estimated from straight-line distance, calibrated on the 68 routes in the original workbook (RMSE ≈ 0.17 h).</t>
  </si>
  <si>
    <t xml:space="preserve">• EPA could not be pulled automatically (Statbotics is not reachable from the build environment); the EPA column is ready for manual entry.</t>
  </si>
  <si>
    <t xml:space="preserve">SOURCES</t>
  </si>
  <si>
    <t xml:space="preserve">FIRST FRC Events — 2026 Peachtree District rankings: https://frc-events.firstinspires.org/2026/district/PCH</t>
  </si>
  <si>
    <t xml:space="preserve">FIRST FRC Events — 2026 event rankings (W-L-T): https://frc-events.firstinspires.org/2026/GADAL/rankings (and GAGWI, GACOL, GAALB, GAGAI)</t>
  </si>
  <si>
    <t xml:space="preserve">FIRST FRC Events — 2027 Season Event List (dates, weeks, capacities), rendered 9/22/2026: https://frc-events.firstinspires.org/2027/Events/EventList</t>
  </si>
  <si>
    <t xml:space="preserve">Original workbook: FRC_2026_Competitive_Outlook.xls (2022–2025 venue history, 2026 predictions, drive-time data).</t>
  </si>
  <si>
    <t xml:space="preserve">3329 Wildbots: final 2027 event-selection recommendation</t>
  </si>
  <si>
    <t xml:space="preserve">Goal: the most district points toward DCMP qualification, with at least 7 clear days to rebuild before the second event and before the District Championship in Macon. Assumptions behind every number: Assumptions sheet, rows 37 onward.</t>
  </si>
  <si>
    <t xml:space="preserve">Round 1 preference list (enter Sep 24 – Oct 1, 2026, noon ET)</t>
  </si>
  <si>
    <t xml:space="preserve">Rank</t>
  </si>
  <si>
    <t xml:space="preserve">Event</t>
  </si>
  <si>
    <t xml:space="preserve">Week and dates</t>
  </si>
  <si>
    <t xml:space="preserve">Why</t>
  </si>
  <si>
    <t xml:space="preserve">Albany (GAALB)</t>
  </si>
  <si>
    <t xml:space="preserve">Week 4, Mar 25–27</t>
  </si>
  <si>
    <t xml:space="preserve">In both of the best plans; smallest capacity (29, forecast 28), so the scarcest slot; shortest drive from Kingsland (3.1 h).</t>
  </si>
  <si>
    <t xml:space="preserve">Dalton (GADAL)</t>
  </si>
  <si>
    <t xml:space="preserve">Week 1, Mar 4–6</t>
  </si>
  <si>
    <t xml:space="preserve">Pairs with Albany (18 days apart) or Gwinnett (12 days apart), so a rule-passing Round 2 option remains even if Albany is lost.</t>
  </si>
  <si>
    <t xml:space="preserve">Gainesville (GAGAI)</t>
  </si>
  <si>
    <t xml:space="preserve">Week 2, Mar 11–13</t>
  </si>
  <si>
    <t xml:space="preserve">In the best pair, but its only rule-passing partner is Albany.</t>
  </si>
  <si>
    <t xml:space="preserve">Gwinnett (GAGWI)</t>
  </si>
  <si>
    <t xml:space="preserve">Week 3, Mar 19–21</t>
  </si>
  <si>
    <t xml:space="preserve">Keeps the team placed rather than waitlisted.</t>
  </si>
  <si>
    <t xml:space="preserve">Do not list</t>
  </si>
  <si>
    <t xml:space="preserve">Douglasville (GADOU)</t>
  </si>
  <si>
    <t xml:space="preserve">Week 5, Apr 1–3</t>
  </si>
  <si>
    <t xml:space="preserve">Ends Apr 3, four days before DCMP: breaks the Macon rule.</t>
  </si>
  <si>
    <t xml:space="preserve">Round 2 preference list (enter Oct 15 – 22, 2026, noon ET), ranked by where Round 1 places us</t>
  </si>
  <si>
    <t xml:space="preserve">Round 1 placement</t>
  </si>
  <si>
    <t xml:space="preserve">Round 2 rank</t>
  </si>
  <si>
    <t xml:space="preserve">Expected pre-DCMP points</t>
  </si>
  <si>
    <t xml:space="preserve">Chance of making cut</t>
  </si>
  <si>
    <t xml:space="preserve">Days between events</t>
  </si>
  <si>
    <t xml:space="preserve">Days before DCMP</t>
  </si>
  <si>
    <t xml:space="preserve">Note</t>
  </si>
  <si>
    <t xml:space="preserve">Albany</t>
  </si>
  <si>
    <t xml:space="preserve">Gainesville</t>
  </si>
  <si>
    <t xml:space="preserve">Target outcome</t>
  </si>
  <si>
    <t xml:space="preserve">Dalton</t>
  </si>
  <si>
    <t xml:space="preserve">Passes both rules</t>
  </si>
  <si>
    <t xml:space="preserve">Gwinnett</t>
  </si>
  <si>
    <t xml:space="preserve">Last resort: breaks rebuild rule</t>
  </si>
  <si>
    <t xml:space="preserve">Douglasville</t>
  </si>
  <si>
    <t xml:space="preserve">Breaks both rules</t>
  </si>
  <si>
    <t xml:space="preserve">Breaks rebuild rule</t>
  </si>
  <si>
    <t xml:space="preserve">Breaks Macon rule</t>
  </si>
  <si>
    <t xml:space="preserve">Outcome by lottery result</t>
  </si>
  <si>
    <t xml:space="preserve">Round 1 / Round 2 result</t>
  </si>
  <si>
    <t xml:space="preserve">Events</t>
  </si>
  <si>
    <t xml:space="preserve">Bad-luck total (1 in 10)</t>
  </si>
  <si>
    <t xml:space="preserve">Bottom line</t>
  </si>
  <si>
    <t xml:space="preserve">Target: Gainesville (W2) + Albany (W4), about 66 expected points, 11 days between events, 10 days before Macon, 16.6 h round-trip driving.</t>
  </si>
  <si>
    <t xml:space="preserve">Every recommended outcome clears the ~50-point cut on expected points; the worst rule-passing outcome, Dalton + Gwinnett (second choice in both rounds), still has roughly a three-in-four chance.</t>
  </si>
  <si>
    <t xml:space="preserve">Enter a full ranked list in each round so the team is placed rather than waitlisted; every event is forecast near capacity.</t>
  </si>
  <si>
    <t xml:space="preserve">Confirm with GeorgiaFIRST whether PCH uses a home-event system before submitting.</t>
  </si>
  <si>
    <t xml:space="preserve">Points and chances link live to Planner 3329 and are valid while the focus team on Assumptions (B20) is 3329. Days between events and before DCMP are calendar facts from the 2027 schedule.</t>
  </si>
  <si>
    <t xml:space="preserve">Event planner — maximize district points to qualify for DCMP</t>
  </si>
  <si>
    <t xml:space="preserve">Focus team</t>
  </si>
  <si>
    <t xml:space="preserve">Name</t>
  </si>
  <si>
    <t xml:space="preserve">Home city</t>
  </si>
  <si>
    <t xml:space="preserve">2026 blended strength</t>
  </si>
  <si>
    <t xml:space="preserve">2026 strength rank (of 74)</t>
  </si>
  <si>
    <t xml:space="preserve">2026 pre-DCMP points</t>
  </si>
  <si>
    <t xml:space="preserve">Forecast 2027 events</t>
  </si>
  <si>
    <t xml:space="preserve">DCMP cut / safe target</t>
  </si>
  <si>
    <t xml:space="preserve">Per-event outlook</t>
  </si>
  <si>
    <t xml:space="preserve">Code</t>
  </si>
  <si>
    <t xml:space="preserve">City</t>
  </si>
  <si>
    <t xml:space="preserve">Week</t>
  </si>
  <si>
    <t xml:space="preserve">Drive (h, one way)</t>
  </si>
  <si>
    <t xml:space="preserve">Forecast field size</t>
  </si>
  <si>
    <t xml:space="preserve">Stronger teams forecast (k)</t>
  </si>
  <si>
    <t xml:space="preserve">Expected district pts</t>
  </si>
  <si>
    <t xml:space="preserve">Top-10 teams there</t>
  </si>
  <si>
    <t xml:space="preserve">GADAL</t>
  </si>
  <si>
    <t xml:space="preserve">GAGAI</t>
  </si>
  <si>
    <t xml:space="preserve">GAGWI</t>
  </si>
  <si>
    <t xml:space="preserve">Lawrenceville</t>
  </si>
  <si>
    <t xml:space="preserve">GAALB</t>
  </si>
  <si>
    <t xml:space="preserve">GADOU</t>
  </si>
  <si>
    <t xml:space="preserve">All two-event combinations</t>
  </si>
  <si>
    <t xml:space="preserve">Event 1</t>
  </si>
  <si>
    <t xml:space="preserve">Event 2</t>
  </si>
  <si>
    <t xml:space="preserve">Week 1</t>
  </si>
  <si>
    <t xml:space="preserve">Week 2</t>
  </si>
  <si>
    <t xml:space="preserve">Gap (wks)</t>
  </si>
  <si>
    <t xml:space="preserve">Pts event 1</t>
  </si>
  <si>
    <t xml:space="preserve">Pts event 2</t>
  </si>
  <si>
    <t xml:space="preserve">Expected pre-DCMP pts</t>
  </si>
  <si>
    <t xml:space="preserve">Round-trip drive (h)</t>
  </si>
  <si>
    <t xml:space="preserve">Margin vs cut</t>
  </si>
  <si>
    <t xml:space="preserve">Outlook</t>
  </si>
  <si>
    <t xml:space="preserve">Points rank</t>
  </si>
  <si>
    <t xml:space="preserve">Schedule note</t>
  </si>
  <si>
    <t xml:space="preserve">Pts if gap ≥ 2</t>
  </si>
  <si>
    <t xml:space="preserve">Pair key</t>
  </si>
  <si>
    <t xml:space="preserve">Best by expected points</t>
  </si>
  <si>
    <t xml:space="preserve">Least driving</t>
  </si>
  <si>
    <t xml:space="preserve">Best with ≥ 2-week gap</t>
  </si>
  <si>
    <t xml:space="preserve">Registration outcomes: what each lottery result means</t>
  </si>
  <si>
    <t xml:space="preserve">Outcome (Round 1 / Round 2)</t>
  </si>
  <si>
    <t xml:space="preserve">First choice / first choice</t>
  </si>
  <si>
    <t xml:space="preserve">Albany + Gainesville</t>
  </si>
  <si>
    <t xml:space="preserve">First choice / second choice</t>
  </si>
  <si>
    <t xml:space="preserve">Albany + Dalton</t>
  </si>
  <si>
    <t xml:space="preserve">Second choice / first choice</t>
  </si>
  <si>
    <t xml:space="preserve">Dalton + Albany</t>
  </si>
  <si>
    <t xml:space="preserve">Second choice / second choice</t>
  </si>
  <si>
    <t xml:space="preserve">Dalton + Gwinnett</t>
  </si>
  <si>
    <t xml:space="preserve">Second choice in both rounds (Dalton W1 + Gwinnett W3): about 5 fewer expected points than the target, the toughest forecast field (Dalton), the least build time (Week 1) and the most driving, but the most rebuild time (12 days) and Macon prep (16 days).</t>
  </si>
  <si>
    <t xml:space="preserve">How to read: k counts forecast attendees with a higher 2026 blended strength than the focus team. Fewer stronger teams → better qualification seed, captain/early-pick odds and playoff depth, which is where most district points come from.</t>
  </si>
  <si>
    <t xml:space="preserve">Sanity check: the same formula gives 3329 about 66 points for its actual 2026 fields (k = 10 at Dalton, 9 at Columbus) vs 64 earned.</t>
  </si>
  <si>
    <t xml:space="preserve">Each event is forecast to be at or near capacity. Event preferencing runs in two lotteries: Round 1 (first event) Sep 24 – Oct 1, 2026 and Round 2 (second event) Oct 15 – 22, 2026. Picking an event changes its field slightly (you displace a team), which this sheet does not model.</t>
  </si>
  <si>
    <t xml:space="preserve">Expected points are 2026-based. A stronger or weaker 2027 robot moves every row by a similar amount, so the ranking of combinations is more reliable than the absolute totals.</t>
  </si>
  <si>
    <t xml:space="preserve">2027 PCH events — forecast attendance and competitive density</t>
  </si>
  <si>
    <t xml:space="preserve">Competitive index = 3 × top-10 teams + 2 × top-11–25 + 1 × top-26–45 (by 2026 blended strength). All counts are live formulas on Forecast 2027.</t>
  </si>
  <si>
    <t xml:space="preserve">Dates</t>
  </si>
  <si>
    <t xml:space="preserve">Capacity</t>
  </si>
  <si>
    <t xml:space="preserve">Forecast teams</t>
  </si>
  <si>
    <t xml:space="preserve">Fill %</t>
  </si>
  <si>
    <t xml:space="preserve">Top-10 teams</t>
  </si>
  <si>
    <t xml:space="preserve">Top 11–25</t>
  </si>
  <si>
    <t xml:space="preserve">Top 26–45</t>
  </si>
  <si>
    <t xml:space="preserve">Avg strength</t>
  </si>
  <si>
    <t xml:space="preserve">Competitive index</t>
  </si>
  <si>
    <t xml:space="preserve">Density rank (1 = toughest)</t>
  </si>
  <si>
    <t xml:space="preserve">PCH District Dalton Event presented by Shaw Industries</t>
  </si>
  <si>
    <t xml:space="preserve">Mar 4–6, 2027</t>
  </si>
  <si>
    <t xml:space="preserve">PCH District Gainesville Event presented by Honeywell Tech</t>
  </si>
  <si>
    <t xml:space="preserve">Mar 11–13, 2027</t>
  </si>
  <si>
    <t xml:space="preserve">PCH District Gwinnett Event presented by Zebra Technologies</t>
  </si>
  <si>
    <t xml:space="preserve">Mar 19–21, 2027</t>
  </si>
  <si>
    <t xml:space="preserve">PCH District Albany Event presented by Procter &amp; Gamble</t>
  </si>
  <si>
    <t xml:space="preserve">Mar 25–27, 2027</t>
  </si>
  <si>
    <t xml:space="preserve">PCH District Douglasville Event (new for 2027)</t>
  </si>
  <si>
    <t xml:space="preserve">Apr 1–3, 2027</t>
  </si>
  <si>
    <t xml:space="preserve">Total</t>
  </si>
  <si>
    <t xml:space="preserve">GACMP</t>
  </si>
  <si>
    <t xml:space="preserve">Peachtree District Championship presented by Mercer University</t>
  </si>
  <si>
    <t xml:space="preserve">Apr 7–9, 2027</t>
  </si>
  <si>
    <t xml:space="preserve">Macon</t>
  </si>
  <si>
    <t xml:space="preserve">Top 45 by district points (2026 precedent)</t>
  </si>
  <si>
    <t xml:space="preserve">2026 actual (same method, using Results 2026)</t>
  </si>
  <si>
    <t xml:space="preserve">Teams</t>
  </si>
  <si>
    <t xml:space="preserve">Density rank</t>
  </si>
  <si>
    <t xml:space="preserve">Mar 5–7, 2026</t>
  </si>
  <si>
    <t xml:space="preserve">Mar 13–15, 2026</t>
  </si>
  <si>
    <t xml:space="preserve">GACOL</t>
  </si>
  <si>
    <t xml:space="preserve">Columbus</t>
  </si>
  <si>
    <t xml:space="preserve">Mar 19–21, 2026</t>
  </si>
  <si>
    <t xml:space="preserve">Mar 26–28, 2026</t>
  </si>
  <si>
    <t xml:space="preserve">Apr 2–4, 2026</t>
  </si>
  <si>
    <t xml:space="preserve">Source: 2027 dates, weeks and capacities from FIRST FRC Events 2027 Season Event List (rendered 9/22/2026). Capacities exclude any reserve slots.</t>
  </si>
  <si>
    <t xml:space="preserve">Team</t>
  </si>
  <si>
    <t xml:space="preserve">Strength</t>
  </si>
  <si>
    <t xml:space="preserve">Strength rank</t>
  </si>
  <si>
    <t xml:space="preserve">Event A</t>
  </si>
  <si>
    <t xml:space="preserve">Event B</t>
  </si>
  <si>
    <t xml:space="preserve">Week A</t>
  </si>
  <si>
    <t xml:space="preserve">Week B</t>
  </si>
  <si>
    <t xml:space="preserve">Drive A (h)</t>
  </si>
  <si>
    <t xml:space="preserve">Drive B (h)</t>
  </si>
  <si>
    <t xml:space="preserve">2026 events</t>
  </si>
  <si>
    <t xml:space="preserve">Venues kept from 2026</t>
  </si>
  <si>
    <t xml:space="preserve">Confidence</t>
  </si>
  <si>
    <t xml:space="preserve">Rationale</t>
  </si>
  <si>
    <t xml:space="preserve">Next-best pair</t>
  </si>
  <si>
    <t xml:space="preserve">Gwinnett + Gainesville</t>
  </si>
  <si>
    <t xml:space="preserve">High</t>
  </si>
  <si>
    <t xml:space="preserve">Gainesville: returning venue (0.6 h); Lawrenceville: returning venue (0.6 h)</t>
  </si>
  <si>
    <t xml:space="preserve">GAGAI + GADOU</t>
  </si>
  <si>
    <t xml:space="preserve">Columbus + Albany</t>
  </si>
  <si>
    <t xml:space="preserve">Low</t>
  </si>
  <si>
    <t xml:space="preserve">Albany: returning venue (1.7 h); Douglasville: closest open option (1.9 h); Columbus retired for 2027; moved by capacity from Gainesville/Albany</t>
  </si>
  <si>
    <t xml:space="preserve">GAGAI + GAALB</t>
  </si>
  <si>
    <t xml:space="preserve">Medium</t>
  </si>
  <si>
    <t xml:space="preserve">Dalton: returning venue (1.4 h); Albany: returning venue (3.3 h)</t>
  </si>
  <si>
    <t xml:space="preserve">GADAL + GAGWI</t>
  </si>
  <si>
    <t xml:space="preserve">Dalton: returning venue (4.4 h); Albany: returning venue (0.0 h)</t>
  </si>
  <si>
    <t xml:space="preserve">Gwinnett + Albany</t>
  </si>
  <si>
    <t xml:space="preserve">Lawrenceville: returning venue (0.4 h); Albany: returning venue (3.4 h)</t>
  </si>
  <si>
    <t xml:space="preserve">GAGWI + GADOU</t>
  </si>
  <si>
    <t xml:space="preserve">Dalton + Columbus</t>
  </si>
  <si>
    <t xml:space="preserve">Dalton: returning venue (1.4 h); Douglasville: closest open option (0.6 h); Columbus retired for 2027</t>
  </si>
  <si>
    <t xml:space="preserve">Gainesville: returning venue (0.7 h); Lawrenceville: returning venue (0.5 h)</t>
  </si>
  <si>
    <t xml:space="preserve">Dalton: returning venue (1.5 h); Albany: attended before 2026 (3.4 h); Columbus retired for 2027; moved by capacity from Dalton/Lawrenceville</t>
  </si>
  <si>
    <t xml:space="preserve">Gainesville: returning venue (0.6 h); Lawrenceville: returning venue (0.7 h)</t>
  </si>
  <si>
    <t xml:space="preserve">Dalton: returning venue (1.7 h); Douglasville: closest open option (0.7 h); Columbus retired for 2027; moved by capacity from Dalton/Lawrenceville</t>
  </si>
  <si>
    <t xml:space="preserve">Dalton: returning venue (1.4 h); Douglasville: closest open option (0.8 h); Columbus retired for 2027; moved by capacity from Dalton/Lawrenceville</t>
  </si>
  <si>
    <t xml:space="preserve">Dalton: attended before 2026 (1.7 h); Albany: returning venue (3.0 h); moved by capacity from Dalton/Lawrenceville</t>
  </si>
  <si>
    <t xml:space="preserve">Gainesville: returning venue (0.6 h); Lawrenceville: returning venue (0.4 h)</t>
  </si>
  <si>
    <t xml:space="preserve">Dalton: returning venue (1.5 h); Albany: returning venue (3.4 h); moved by capacity from Dalton/Lawrenceville</t>
  </si>
  <si>
    <t xml:space="preserve">Gainesville: attended before 2026 (0.7 h); Lawrenceville: returning venue (0.5 h)</t>
  </si>
  <si>
    <t xml:space="preserve">Dalton: returning venue (1.3 h); Lawrenceville: attended before 2026 (0.6 h); Columbus retired for 2027</t>
  </si>
  <si>
    <t xml:space="preserve">GADAL + GAGAI</t>
  </si>
  <si>
    <t xml:space="preserve">Gainesville: returning venue (0.9 h); Albany: returning venue (3.6 h)</t>
  </si>
  <si>
    <t xml:space="preserve">Dalton: returning venue (0.0 h); Douglasville: closest open option (1.5 h); Columbus retired for 2027; moved by capacity from Dalton/Lawrenceville</t>
  </si>
  <si>
    <t xml:space="preserve">Gainesville: returning venue (0.8 h); Lawrenceville: returning venue (0.6 h)</t>
  </si>
  <si>
    <t xml:space="preserve">Gainesville: returning venue (1.1 h); Lawrenceville: returning venue (0.7 h)</t>
  </si>
  <si>
    <t xml:space="preserve">Gainesville: returning venue (0.9 h); Lawrenceville: returning venue (0.6 h)</t>
  </si>
  <si>
    <t xml:space="preserve">Dalton: returning venue (1.7 h); Douglasville: closest open option (0.6 h); Columbus retired for 2027; moved by capacity from Dalton/Lawrenceville</t>
  </si>
  <si>
    <t xml:space="preserve">Columbus + Gainesville</t>
  </si>
  <si>
    <t xml:space="preserve">Gainesville: returning venue (1.1 h); Douglasville: closest open option (0.6 h); Columbus retired for 2027</t>
  </si>
  <si>
    <t xml:space="preserve">GAGAI + GAGWI</t>
  </si>
  <si>
    <t xml:space="preserve">Albany: returning venue (2.9 h); Douglasville: closest open option (0.6 h); Columbus retired for 2027; moved by capacity from Gainesville/Albany</t>
  </si>
  <si>
    <t xml:space="preserve">Dalton: returning venue (6.3 h); Albany: returning venue (3.1 h); Columbus retired for 2027</t>
  </si>
  <si>
    <t xml:space="preserve">Dalton: returning venue (1.4 h); Albany: returning venue (3.3 h); moved by capacity from Dalton/Lawrenceville</t>
  </si>
  <si>
    <t xml:space="preserve">Albany: returning venue (3.0 h); Douglasville: closest open option (0.6 h); moved by capacity from Lawrenceville/Douglasville</t>
  </si>
  <si>
    <t xml:space="preserve">Dalton + Gainesville</t>
  </si>
  <si>
    <t xml:space="preserve">Dalton: returning venue (1.3 h); Gainesville: returning venue (0.6 h)</t>
  </si>
  <si>
    <t xml:space="preserve">Dalton: returning venue (1.7 h); Albany: returning venue (3.0 h)</t>
  </si>
  <si>
    <t xml:space="preserve">Gainesville: returning venue (0.9 h); Lawrenceville: returning venue (0.9 h)</t>
  </si>
  <si>
    <t xml:space="preserve">Dalton: returning venue (1.5 h); Lawrenceville: attended before 2026 (0.5 h); Columbus retired for 2027</t>
  </si>
  <si>
    <t xml:space="preserve">Gainesville: returning venue (1.5 h); Douglasville: closest open option (0.7 h); Columbus retired for 2027</t>
  </si>
  <si>
    <t xml:space="preserve">Dalton: returning venue (1.5 h); Douglasville: closest open option (0.0 h); moved by capacity from Dalton/Gainesville</t>
  </si>
  <si>
    <t xml:space="preserve">Dalton: returning venue (1.4 h); Albany: returning venue (3.4 h); moved by capacity from Dalton/Gainesville</t>
  </si>
  <si>
    <t xml:space="preserve">Gainesville: returning venue (0.4 h); Lawrenceville: returning venue (0.5 h)</t>
  </si>
  <si>
    <t xml:space="preserve">Gainesville: returning venue (0.6 h); Lawrenceville: returning venue (0.8 h)</t>
  </si>
  <si>
    <t xml:space="preserve">Gainesville: returning venue (0.6 h); Douglasville: closest open option (1.1 h); Columbus retired for 2027</t>
  </si>
  <si>
    <t xml:space="preserve">Gainesville: returning venue (3.4 h); Lawrenceville: returning venue (3.2 h)</t>
  </si>
  <si>
    <t xml:space="preserve">Lawrenceville: returning venue (0.5 h); Douglasville: closest open option (1.4 h)</t>
  </si>
  <si>
    <t xml:space="preserve">GAGWI + GAALB</t>
  </si>
  <si>
    <t xml:space="preserve">Dalton: returning venue (1.3 h); Douglasville: closest open option (1.1 h); Columbus retired for 2027; moved by capacity from Dalton/Lawrenceville</t>
  </si>
  <si>
    <t xml:space="preserve">Dalton: returning venue (5.1 h); Albany: returning venue (1.2 h)</t>
  </si>
  <si>
    <t xml:space="preserve">Dalton: returning venue (1.4 h); Albany: returning venue (3.4 h)</t>
  </si>
  <si>
    <t xml:space="preserve">Albany: returning venue (1.4 h); Douglasville: fills schedule (2.2 h); Columbus retired for 2027; moved by capacity from Gainesville/Albany</t>
  </si>
  <si>
    <t xml:space="preserve">Gainesville: returning venue (0.6 h); Lawrenceville: returning venue (0.3 h)</t>
  </si>
  <si>
    <t xml:space="preserve">Lawrenceville: returning venue (4.1 h); Albany: returning venue (3.6 h)</t>
  </si>
  <si>
    <t xml:space="preserve">Gainesville: returning venue (1.3 h); Douglasville: closest open option (0.3 h); Columbus retired for 2027</t>
  </si>
  <si>
    <t xml:space="preserve">Albany: returning venue (0.0 h); Douglasville: fills schedule (3.1 h); Columbus retired for 2027; moved by capacity from Gainesville/Albany</t>
  </si>
  <si>
    <t xml:space="preserve">Gainesville: returning venue (4.2 h); Albany: fills schedule (3.3 h); Columbus retired for 2027</t>
  </si>
  <si>
    <t xml:space="preserve">Dalton: returning venue (3.8 h); Albany: fills schedule (3.6 h); Columbus retired for 2027; moved by capacity from Dalton/Lawrenceville</t>
  </si>
  <si>
    <t xml:space="preserve">Albany: returning venue (3.6 h); Douglasville: fills schedule (4.7 h); Columbus retired for 2027; moved by capacity from Gainesville/Albany</t>
  </si>
  <si>
    <t xml:space="preserve">Lawrenceville: returning venue (0.5 h); Douglasville: closest open option (0.8 h)</t>
  </si>
  <si>
    <t xml:space="preserve">Gainesville: returning venue (0.7 h); Lawrenceville: returning venue (0.0 h)</t>
  </si>
  <si>
    <t xml:space="preserve">Gainesville: returning venue (0.7 h); Lawrenceville: returning venue (0.4 h)</t>
  </si>
  <si>
    <t xml:space="preserve">Dalton: returning venue (3.3 h); Douglasville: fills schedule (2.6 h); Columbus retired for 2027; moved by capacity from Dalton/Lawrenceville</t>
  </si>
  <si>
    <t xml:space="preserve">Lawrenceville: returning venue (0.3 h); Douglasville: closest open option (1.1 h)</t>
  </si>
  <si>
    <t xml:space="preserve">Gwinnett + Columbus</t>
  </si>
  <si>
    <t xml:space="preserve">Lawrenceville: returning venue (0.7 h); Douglasville: closest open option (0.6 h); Columbus retired for 2027</t>
  </si>
  <si>
    <t xml:space="preserve">Albany: returning venue (1.1 h); Douglasville: fills schedule (3.9 h); moved by capacity from Dalton/Albany</t>
  </si>
  <si>
    <t xml:space="preserve">GADAL + GAALB</t>
  </si>
  <si>
    <t xml:space="preserve">Lawrenceville: returning venue (0.0 h); Albany: returning venue (3.2 h); moved by capacity from Gainesville/Lawrenceville</t>
  </si>
  <si>
    <t xml:space="preserve">Dalton: returning venue (0.4 h); Gainesville: returning venue (1.4 h)</t>
  </si>
  <si>
    <t xml:space="preserve">Dalton: returning venue (0.7 h); Gainesville: returning venue (1.4 h)</t>
  </si>
  <si>
    <t xml:space="preserve">GADAL + GADOU</t>
  </si>
  <si>
    <t xml:space="preserve">Albany: returning venue (0.0 h); Douglasville: fills schedule (3.1 h); moved by capacity from Dalton/Albany</t>
  </si>
  <si>
    <t xml:space="preserve">Gainesville: returning venue (1.1 h); Douglasville: closest open option (1.0 h); Columbus retired for 2027</t>
  </si>
  <si>
    <t xml:space="preserve">Dalton: returning venue (1.4 h); Gainesville: returning venue (0.8 h)</t>
  </si>
  <si>
    <t xml:space="preserve">Blue event codes are model outputs you can override; weeks, drive times, densities and the planner recalculate. Codes: GADAL Dalton W1, GAGAI Gainesville W2, GAGWI Gwinnett W3, GAALB Albany W4, GADOU Douglasville W5.</t>
  </si>
  <si>
    <t xml:space="preserve">Predicted fields — cell shows the team's blended strength if forecast to attend (live from Forecast 2027)</t>
  </si>
  <si>
    <t xml:space="preserve">GADAL (Dalton W1)</t>
  </si>
  <si>
    <t xml:space="preserve">GAGAI (Gainesville W2)</t>
  </si>
  <si>
    <t xml:space="preserve">GAGWI (Lawrenceville W3)</t>
  </si>
  <si>
    <t xml:space="preserve">GAALB (Albany W4)</t>
  </si>
  <si>
    <t xml:space="preserve">GADOU (Douglasville W5)</t>
  </si>
  <si>
    <t xml:space="preserve">2026 district rank</t>
  </si>
  <si>
    <t xml:space="preserve">2026 district pts</t>
  </si>
  <si>
    <t xml:space="preserve">E1 pts</t>
  </si>
  <si>
    <t xml:space="preserve">E2 pts</t>
  </si>
  <si>
    <t xml:space="preserve">Other pts</t>
  </si>
  <si>
    <t xml:space="preserve">DCMP pts</t>
  </si>
  <si>
    <t xml:space="preserve">Qual W</t>
  </si>
  <si>
    <t xml:space="preserve">Qual L</t>
  </si>
  <si>
    <t xml:space="preserve">Qual T</t>
  </si>
  <si>
    <t xml:space="preserve">Qual win %</t>
  </si>
  <si>
    <t xml:space="preserve">Avg pts / event</t>
  </si>
  <si>
    <t xml:space="preserve">Statbotics EPA (enter)</t>
  </si>
  <si>
    <t xml:space="preserve">Scaled pts</t>
  </si>
  <si>
    <t xml:space="preserve">Scaled win %</t>
  </si>
  <si>
    <t xml:space="preserve">Scaled EPA</t>
  </si>
  <si>
    <t xml:space="preserve">Blended strength</t>
  </si>
  <si>
    <t xml:space="preserve">Team BEAN</t>
  </si>
  <si>
    <t xml:space="preserve">Cumming</t>
  </si>
  <si>
    <t xml:space="preserve">North Gwinnett Robotics</t>
  </si>
  <si>
    <t xml:space="preserve">Suwanee</t>
  </si>
  <si>
    <t xml:space="preserve">The Commodores</t>
  </si>
  <si>
    <t xml:space="preserve">CircuitRunners Robotics</t>
  </si>
  <si>
    <t xml:space="preserve">Marietta</t>
  </si>
  <si>
    <t xml:space="preserve">Columbus Space Program</t>
  </si>
  <si>
    <t xml:space="preserve">Walton Robotics</t>
  </si>
  <si>
    <t xml:space="preserve">Chargers</t>
  </si>
  <si>
    <t xml:space="preserve">Jefferson</t>
  </si>
  <si>
    <t xml:space="preserve">Robo Lions Team1261</t>
  </si>
  <si>
    <t xml:space="preserve">Mechanical Bulls</t>
  </si>
  <si>
    <t xml:space="preserve">Sugar Hill</t>
  </si>
  <si>
    <t xml:space="preserve">Ignite Robotics</t>
  </si>
  <si>
    <t xml:space="preserve">Techno Titans</t>
  </si>
  <si>
    <t xml:space="preserve">Johns Creek</t>
  </si>
  <si>
    <t xml:space="preserve">G3 Robotics</t>
  </si>
  <si>
    <t xml:space="preserve">Atlanta</t>
  </si>
  <si>
    <t xml:space="preserve">Wildcat5e</t>
  </si>
  <si>
    <t xml:space="preserve">Dunwoody</t>
  </si>
  <si>
    <t xml:space="preserve">Lambda</t>
  </si>
  <si>
    <t xml:space="preserve">Sequoyah High School Robotics</t>
  </si>
  <si>
    <t xml:space="preserve">Canton</t>
  </si>
  <si>
    <t xml:space="preserve">Decatur Robotics</t>
  </si>
  <si>
    <t xml:space="preserve">Decatur</t>
  </si>
  <si>
    <t xml:space="preserve">Innovation Robotics</t>
  </si>
  <si>
    <t xml:space="preserve">Alpharetta</t>
  </si>
  <si>
    <t xml:space="preserve">IHOT</t>
  </si>
  <si>
    <t xml:space="preserve">Flying Legion</t>
  </si>
  <si>
    <t xml:space="preserve">Perry</t>
  </si>
  <si>
    <t xml:space="preserve">Gladiator Robotics</t>
  </si>
  <si>
    <t xml:space="preserve">AvengerRobotics</t>
  </si>
  <si>
    <t xml:space="preserve">The Mechanisms</t>
  </si>
  <si>
    <t xml:space="preserve">DISCBOTS</t>
  </si>
  <si>
    <t xml:space="preserve">OSCAR</t>
  </si>
  <si>
    <t xml:space="preserve">Roswell</t>
  </si>
  <si>
    <t xml:space="preserve">Team OTTO</t>
  </si>
  <si>
    <t xml:space="preserve">W.A.Robotics</t>
  </si>
  <si>
    <t xml:space="preserve">College Park</t>
  </si>
  <si>
    <t xml:space="preserve">Space Dragons</t>
  </si>
  <si>
    <t xml:space="preserve">Fayetteville</t>
  </si>
  <si>
    <t xml:space="preserve">[CY]BEARCATS robotics</t>
  </si>
  <si>
    <t xml:space="preserve">Bainbridge</t>
  </si>
  <si>
    <t xml:space="preserve">The Gear Bears</t>
  </si>
  <si>
    <t xml:space="preserve">Flowery Branch</t>
  </si>
  <si>
    <t xml:space="preserve">Lassiter Robotics</t>
  </si>
  <si>
    <t xml:space="preserve">Dalton Catabots</t>
  </si>
  <si>
    <t xml:space="preserve">Danes Robotics</t>
  </si>
  <si>
    <t xml:space="preserve">The Marist Manta Rays</t>
  </si>
  <si>
    <t xml:space="preserve">EagleBots</t>
  </si>
  <si>
    <t xml:space="preserve">The Fighting Mongooses</t>
  </si>
  <si>
    <t xml:space="preserve">The Marist Manatees</t>
  </si>
  <si>
    <t xml:space="preserve">Wildbots</t>
  </si>
  <si>
    <t xml:space="preserve">Kingsland</t>
  </si>
  <si>
    <t xml:space="preserve">BuzzBots</t>
  </si>
  <si>
    <t xml:space="preserve">Athens</t>
  </si>
  <si>
    <t xml:space="preserve">NF Raiders</t>
  </si>
  <si>
    <t xml:space="preserve">TeknoSquad 5219</t>
  </si>
  <si>
    <t xml:space="preserve">Raiders of the ARC- TEAR-A-BYTE</t>
  </si>
  <si>
    <t xml:space="preserve">Archimedes</t>
  </si>
  <si>
    <t xml:space="preserve">Georgia Cyber Academy Champions</t>
  </si>
  <si>
    <t xml:space="preserve">100 Scholars</t>
  </si>
  <si>
    <t xml:space="preserve">Mill Creek Steel Talons</t>
  </si>
  <si>
    <t xml:space="preserve">Hoschton</t>
  </si>
  <si>
    <t xml:space="preserve">Barnstormers</t>
  </si>
  <si>
    <t xml:space="preserve">Statesboro</t>
  </si>
  <si>
    <t xml:space="preserve">Dawson Dinos</t>
  </si>
  <si>
    <t xml:space="preserve">Dawsonville</t>
  </si>
  <si>
    <t xml:space="preserve">THS RoboDogs</t>
  </si>
  <si>
    <t xml:space="preserve">Thomson</t>
  </si>
  <si>
    <t xml:space="preserve">RoboDragons</t>
  </si>
  <si>
    <t xml:space="preserve">Dacula Droids</t>
  </si>
  <si>
    <t xml:space="preserve">Dacula</t>
  </si>
  <si>
    <t xml:space="preserve">The Bot Brothers</t>
  </si>
  <si>
    <t xml:space="preserve">Savannah</t>
  </si>
  <si>
    <t xml:space="preserve">Plutonium Panthers</t>
  </si>
  <si>
    <t xml:space="preserve">Augusta</t>
  </si>
  <si>
    <t xml:space="preserve">Warriors (Team W.I.R.E.)</t>
  </si>
  <si>
    <t xml:space="preserve">RoboMustangs</t>
  </si>
  <si>
    <t xml:space="preserve">Norcross</t>
  </si>
  <si>
    <t xml:space="preserve">Metal Crusaders</t>
  </si>
  <si>
    <t xml:space="preserve">Duluth</t>
  </si>
  <si>
    <t xml:space="preserve">EVE Robotics</t>
  </si>
  <si>
    <t xml:space="preserve">Grayson Robotics</t>
  </si>
  <si>
    <t xml:space="preserve">Grayson</t>
  </si>
  <si>
    <t xml:space="preserve">Maynard Jackson RoboJags</t>
  </si>
  <si>
    <t xml:space="preserve">Flying Riots</t>
  </si>
  <si>
    <t xml:space="preserve">CircuitMakers</t>
  </si>
  <si>
    <t xml:space="preserve">Cairo</t>
  </si>
  <si>
    <t xml:space="preserve">Wildcat Robotics</t>
  </si>
  <si>
    <t xml:space="preserve">Richmond Hill</t>
  </si>
  <si>
    <t xml:space="preserve">G.I.R.L.</t>
  </si>
  <si>
    <t xml:space="preserve">Fernbank LINKS</t>
  </si>
  <si>
    <t xml:space="preserve">LeoTechs</t>
  </si>
  <si>
    <t xml:space="preserve">Lithia Springs</t>
  </si>
  <si>
    <t xml:space="preserve">Metal Mountain</t>
  </si>
  <si>
    <t xml:space="preserve">AHS TigerByte8761</t>
  </si>
  <si>
    <t xml:space="preserve">Adairsville</t>
  </si>
  <si>
    <t xml:space="preserve">Mountaineers</t>
  </si>
  <si>
    <t xml:space="preserve">Chatsworth</t>
  </si>
  <si>
    <t xml:space="preserve">TroTek Warriors</t>
  </si>
  <si>
    <t xml:space="preserve">Terminators</t>
  </si>
  <si>
    <t xml:space="preserve">HHS NASA Snaggbotics</t>
  </si>
  <si>
    <t xml:space="preserve">Conyers</t>
  </si>
  <si>
    <t xml:space="preserve">WiredCats</t>
  </si>
  <si>
    <t xml:space="preserve">Victory Church of Christ Robo Knights</t>
  </si>
  <si>
    <t xml:space="preserve">Storm Robotics</t>
  </si>
  <si>
    <t xml:space="preserve">Carver Clutch</t>
  </si>
  <si>
    <t xml:space="preserve">Source: FIRST FRC Events, 2026 Peachtree District rankings. Team 8872 (did not play) excluded. EPA column is optional manual input.</t>
  </si>
  <si>
    <t xml:space="preserve">Qual rank</t>
  </si>
  <si>
    <t xml:space="preserve">District pts</t>
  </si>
  <si>
    <t xml:space="preserve">Source: FIRST FRC Events 2026 event rankings pages (GADAL, GAGWI, GACOL, GAALB, GAGAI).</t>
  </si>
  <si>
    <t xml:space="preserve">How the original 2026 predictions did</t>
  </si>
  <si>
    <t xml:space="preserve">Predicted 2026 events</t>
  </si>
  <si>
    <t xml:space="preserve">Actual 2026 events</t>
  </si>
  <si>
    <t xml:space="preserve">Correct picks (of 2)</t>
  </si>
  <si>
    <t xml:space="preserve">Columbus + Dalton</t>
  </si>
  <si>
    <t xml:space="preserve">Albany + Lawrenceville</t>
  </si>
  <si>
    <t xml:space="preserve">Gainesville + Lawrenceville</t>
  </si>
  <si>
    <t xml:space="preserve">Did not compete</t>
  </si>
  <si>
    <t xml:space="preserve">Did not compete in 2026</t>
  </si>
  <si>
    <t xml:space="preserve">Columbus + Lawrenceville</t>
  </si>
  <si>
    <t xml:space="preserve">Correct picks</t>
  </si>
  <si>
    <t xml:space="preserve">Pick accuracy</t>
  </si>
  <si>
    <t xml:space="preserve">Both events right</t>
  </si>
  <si>
    <t xml:space="preserve">New model backtest (2026 schedule, pre-2026 information only, capacity-constrained) — model outputs</t>
  </si>
  <si>
    <t xml:space="preserve">All 74 active teams: correct picks</t>
  </si>
  <si>
    <t xml:space="preserve">89 of 148 (60%)</t>
  </si>
  <si>
    <t xml:space="preserve">All teams: both events right</t>
  </si>
  <si>
    <t xml:space="preserve">29 of 74</t>
  </si>
  <si>
    <t xml:space="preserve">25 legacy teams: correct picks</t>
  </si>
  <si>
    <t xml:space="preserve">32 of 50 (64%)</t>
  </si>
  <si>
    <t xml:space="preserve">Random-choice baseline</t>
  </si>
  <si>
    <t xml:space="preserve">40%</t>
  </si>
  <si>
    <t xml:space="preserve">Biggest 2026 surprises: several strong metro teams (1648, 1771, 1261) went to Albany rather than a second northern event, and Columbus drew teams from Atlanta’s south and west sides — patterns the 2027 model picks up through loyalty weighting.</t>
  </si>
  <si>
    <t xml:space="preserve">Estimated drive hours (formulas use Assumptions!B17:B18)</t>
  </si>
  <si>
    <t xml:space="preserve">Venue code</t>
  </si>
  <si>
    <t xml:space="preserve">Venue city</t>
  </si>
  <si>
    <t xml:space="preserve">Lat</t>
  </si>
  <si>
    <t xml:space="preserve">Lon</t>
  </si>
  <si>
    <t xml:space="preserve">Coordinates are approximate city centers (blue = input).</t>
  </si>
  <si>
    <t xml:space="preserve">Team city</t>
  </si>
  <si>
    <t xml:space="preserve">Assumptions and levers</t>
  </si>
  <si>
    <t xml:space="preserve">Strength blend weights</t>
  </si>
  <si>
    <t xml:space="preserve">Weight: avg district points per event</t>
  </si>
  <si>
    <t xml:space="preserve">Captures quals, alliance selection, playoffs and awards — what DCMP qualification actually counts.</t>
  </si>
  <si>
    <t xml:space="preserve">Weight: qualification win %</t>
  </si>
  <si>
    <t xml:space="preserve">Isolates qualification play; less dependent on who picked whom.</t>
  </si>
  <si>
    <t xml:space="preserve">Weight: Statbotics EPA (used only where entered)</t>
  </si>
  <si>
    <t xml:space="preserve">Most predictive robot-only metric; applied automatically when EPA values are entered on Strength 2026.</t>
  </si>
  <si>
    <t xml:space="preserve">Event points model: pts = a + b × ln(1 + k)</t>
  </si>
  <si>
    <t xml:space="preserve">a (intercept)</t>
  </si>
  <si>
    <t xml:space="preserve">Fitted on 148 2026 team-events (R² 0.81).</t>
  </si>
  <si>
    <t xml:space="preserve">b (slope)</t>
  </si>
  <si>
    <t xml:space="preserve">k = stronger teams in the field.</t>
  </si>
  <si>
    <t xml:space="preserve">DCMP qualification</t>
  </si>
  <si>
    <t xml:space="preserve">Estimated cut line (pre-DCMP points)</t>
  </si>
  <si>
    <t xml:space="preserve">2026: 45th-ranked team had 49–51 pre-DCMP points.</t>
  </si>
  <si>
    <t xml:space="preserve">Safe target (pre-DCMP points)</t>
  </si>
  <si>
    <t xml:space="preserve">Cushion for a stronger 2027 field or a rookie surge.</t>
  </si>
  <si>
    <t xml:space="preserve">Drive-time estimate: hours = a + b × straight-line miles</t>
  </si>
  <si>
    <t xml:space="preserve">a</t>
  </si>
  <si>
    <t xml:space="preserve">Calibrated on 68 routes from the original workbook (RMSE 0.17 h).</t>
  </si>
  <si>
    <t xml:space="preserve">b</t>
  </si>
  <si>
    <t xml:space="preserve">Planner focus team</t>
  </si>
  <si>
    <t xml:space="preserve">Change to plan for any team on Forecast 2027.</t>
  </si>
  <si>
    <t xml:space="preserve">Attendance model (applied in the build; documented here)</t>
  </si>
  <si>
    <t xml:space="preserve">Venue loyalty weight</t>
  </si>
  <si>
    <t xml:space="preserve">Backtest-tuned on 2026.</t>
  </si>
  <si>
    <t xml:space="preserve">Drive-hours penalty (per event)</t>
  </si>
  <si>
    <t xml:space="preserve">Back-to-back weeks penalty</t>
  </si>
  <si>
    <t xml:space="preserve">Four-week gap penalty</t>
  </si>
  <si>
    <t xml:space="preserve">DCMP qualification risk</t>
  </si>
  <si>
    <t xml:space="preserve">Per-event points error (RMSE, 2026 backtest)</t>
  </si>
  <si>
    <t xml:space="preserve">Typical miss of the event-points model on 2026 results.</t>
  </si>
  <si>
    <t xml:space="preserve">Correlation of a team's two event errors</t>
  </si>
  <si>
    <t xml:space="preserve">Measured on 2026 (partly an artefact of strength using event points).</t>
  </si>
  <si>
    <t xml:space="preserve">2027 robot-strength uncertainty (points per event, SD)</t>
  </si>
  <si>
    <t xml:space="preserve">Assumption: how far a new game can move the team up or down; applies to both events at once.</t>
  </si>
  <si>
    <t xml:space="preserve">Cut-line uncertainty (SD, points)</t>
  </si>
  <si>
    <t xml:space="preserve">2026 cut ~49; allows for a stronger or weaker 2027 district.</t>
  </si>
  <si>
    <t xml:space="preserve">Combined SD of pre-DCMP total vs cut</t>
  </si>
  <si>
    <t xml:space="preserve">Formula.</t>
  </si>
  <si>
    <t xml:space="preserve">Combined SD of pre-DCMP total</t>
  </si>
  <si>
    <t xml:space="preserve">Formula; used for the bad-luck (1-in-10) total.</t>
  </si>
  <si>
    <t xml:space="preserve">Prediction assumptions in plain terms</t>
  </si>
  <si>
    <t xml:space="preserve">Every forecast, points estimate and recommendation in this workbook rests on these assumptions. Numbered items with a lever above can be changed there; the rest are built into the model.</t>
  </si>
  <si>
    <t xml:space="preserve">#</t>
  </si>
  <si>
    <t xml:space="preserve">Area</t>
  </si>
  <si>
    <t xml:space="preserve">Assumption</t>
  </si>
  <si>
    <t xml:space="preserve">Basis</t>
  </si>
  <si>
    <t xml:space="preserve">If it turns out wrong</t>
  </si>
  <si>
    <t xml:space="preserve">Attendance</t>
  </si>
  <si>
    <t xml:space="preserve">Teams pick events mostly by habit: each past visit to a venue adds 3.0 to that event's score, weighted by recency (2026 = 1.0, 2025 = 0.6, 2024 = 0.4, 2023 = 0.25, 2022 = 0.15).</t>
  </si>
  <si>
    <t xml:space="preserve">Tuned on a 2026 backtest: 60% of actual event picks matched (64% for the 25 teams with full history) vs 40% for random picks.</t>
  </si>
  <si>
    <t xml:space="preserve">Fields shift. Check Fields 2027 and override any team's events on Forecast 2027; densities and the planner update.</t>
  </si>
  <si>
    <t xml:space="preserve">Teams avoid driving: each hour of one-way drive to an event subtracts 1.0 from its score.</t>
  </si>
  <si>
    <t xml:space="preserve">Same backtest.</t>
  </si>
  <si>
    <t xml:space="preserve">Distant events would draw more strong teams than forecast.</t>
  </si>
  <si>
    <t xml:space="preserve">Teams avoid back-to-back weeks (−1.0) and slightly avoid a four-week gap (−0.25).</t>
  </si>
  <si>
    <t xml:space="preserve">Same backtest; matches common team practice.</t>
  </si>
  <si>
    <t xml:space="preserve">Minor changes to which teams pair which events.</t>
  </si>
  <si>
    <t xml:space="preserve">Venue history before 2026 is known only for the 27 teams in the original 2026 outlook; all other teams are forecast from 2026 attendance and drive time.</t>
  </si>
  <si>
    <t xml:space="preserve">Original workbook history (2022–2025) plus official 2026 results.</t>
  </si>
  <si>
    <t xml:space="preserve">Forecasts for teams outside the original 27 are less reliable.</t>
  </si>
  <si>
    <t xml:space="preserve">Every event fills to its posted capacity: 30 / 30 / 30 / 29 / 30 = 149 slots for 74 active teams × 2 events. Where an event is over capacity, the teams that lose least by moving are moved.</t>
  </si>
  <si>
    <t xml:space="preserve">FIRST 2027 Season Event List (capacities exclude reserve slots). The real lottery is random, not modeled.</t>
  </si>
  <si>
    <t xml:space="preserve">Some teams land at different events than shown; reserve slots or rookies change field sizes.</t>
  </si>
  <si>
    <t xml:space="preserve">No rookie or returning teams are added, and team 8872 (did not compete in 2026) is excluded.</t>
  </si>
  <si>
    <t xml:space="preserve">2026 PCH roster of 75 teams.</t>
  </si>
  <si>
    <t xml:space="preserve">Extra teams make events fuller and waitlists more likely.</t>
  </si>
  <si>
    <t xml:space="preserve">Douglasville is a new venue, so no team has history there; its field is forecast from drive time alone.</t>
  </si>
  <si>
    <t xml:space="preserve">2027 is its first year.</t>
  </si>
  <si>
    <t xml:space="preserve">Its field is the least certain of the five events.</t>
  </si>
  <si>
    <t xml:space="preserve">Team strength</t>
  </si>
  <si>
    <t xml:space="preserve">A team's 2027 strength equals its 2026 strength: a blend of average district points per event (40%) and qualification win rate (25%), each scaled 0–100. Statbotics EPA gets 35% only where entered.</t>
  </si>
  <si>
    <t xml:space="preserve">Official 2026 district rankings and event W-L-T records.</t>
  </si>
  <si>
    <t xml:space="preserve">A new game (BIOCORE), graduations and new mentors will reshuffle teams. Rankings of options are more reliable than absolute point totals.</t>
  </si>
  <si>
    <t xml:space="preserve">Expected points</t>
  </si>
  <si>
    <t xml:space="preserve">District points at an event depend only on how many attending teams are stronger: points = 79.09 − 19.575 × ln(1 + k), where k = stronger teams in the field.</t>
  </si>
  <si>
    <t xml:space="preserve">Fitted on all 148 team-events of 2026 (R² 0.81, typical error ±8 points per event). Strength partly contains event points, so the fit is somewhat optimistic.</t>
  </si>
  <si>
    <t xml:space="preserve">Totals move up or down, but the order of the options usually holds.</t>
  </si>
  <si>
    <t xml:space="preserve">3329 joining an event does not change who else attends (displacement is not modeled).</t>
  </si>
  <si>
    <t xml:space="preserve">Simplification; each event is near capacity.</t>
  </si>
  <si>
    <t xml:space="preserve">Small: one team's choice rarely changes a field's top teams.</t>
  </si>
  <si>
    <t xml:space="preserve">Qualification</t>
  </si>
  <si>
    <t xml:space="preserve">The DCMP cut is about 50 pre-DCMP district points; 60 is treated as safe. DCMP again takes about 45 teams.</t>
  </si>
  <si>
    <t xml:space="preserve">2026: the 45th-ranked team had 49 pre-DCMP points and 45 teams qualified.</t>
  </si>
  <si>
    <t xml:space="preserve">A stronger or larger district raises the cut; the chance columns allow ±3 points.</t>
  </si>
  <si>
    <t xml:space="preserve">Only a team's first two district events count toward district points.</t>
  </si>
  <si>
    <t xml:space="preserve">Standard FRC district rules; confirm with GeorgiaFIRST.</t>
  </si>
  <si>
    <t xml:space="preserve">A third in-district event would add practice, not points.</t>
  </si>
  <si>
    <t xml:space="preserve">Chance of making the cut assumes errors are roughly normal: ±8 points per event (2026 backtest), a −0.31 correlation between a team's two events, ±6 points per event for 2027 robot-strength uncertainty (a judgment call), and ±3 points on the cut line.</t>
  </si>
  <si>
    <t xml:space="preserve">Rows 29–34 above.</t>
  </si>
  <si>
    <t xml:space="preserve">Treat the percentages as rough guides, not odds; change the ±6 lever to test sensitivity.</t>
  </si>
  <si>
    <t xml:space="preserve">Schedule</t>
  </si>
  <si>
    <t xml:space="preserve">Adequate rebuild and repair time means at least 7 clear days between the two events, and at least 7 clear days before the District Championship (Apr 7–9, 2027).</t>
  </si>
  <si>
    <t xml:space="preserve">3329's stated criteria; days counted between the last day of one event and the first day of the next.</t>
  </si>
  <si>
    <t xml:space="preserve">If the team needs 12 or more days between events, Dalton should rank ahead of Gainesville in Round 2.</t>
  </si>
  <si>
    <t xml:space="preserve">Travel</t>
  </si>
  <si>
    <t xml:space="preserve">Drive times are from Kingsland city center: hours = 0.2273 + 0.01833 × straight-line miles. Drive time is only a tiebreaker in the recommendation.</t>
  </si>
  <si>
    <t xml:space="preserve">Calibrated on the 68 routes in the original workbook (typical error about 10 minutes).</t>
  </si>
  <si>
    <t xml:space="preserve">Small; it only changes the least-driving option.</t>
  </si>
  <si>
    <t xml:space="preserve">Registration</t>
  </si>
  <si>
    <t xml:space="preserve">Event dates, weeks and capacities are as posted on Sep 22, 2026. Registration uses two preference lotteries: Round 1 (first event) Sep 24 – Oct 1 and Round 2 (second event) Oct 15 – 22, 2026, each placing a team at its highest-ranked open event or waitlisting it.</t>
  </si>
  <si>
    <t xml:space="preserve">FIRST 2027 Season Event List; FIRST Event Preferencing page and Calendar.</t>
  </si>
  <si>
    <t xml:space="preserve">If PCH uses a home-event system or dates change, revisit the lists.</t>
  </si>
</sst>
</file>

<file path=xl/styles.xml><?xml version="1.0" encoding="utf-8"?>
<styleSheet xmlns="http://schemas.openxmlformats.org/spreadsheetml/2006/main">
  <numFmts count="8">
    <numFmt numFmtId="164" formatCode="General"/>
    <numFmt numFmtId="165" formatCode="0.0"/>
    <numFmt numFmtId="166" formatCode="0%"/>
    <numFmt numFmtId="167" formatCode="0"/>
    <numFmt numFmtId="168" formatCode="\+0.0;\-0.0;0"/>
    <numFmt numFmtId="169" formatCode="0.0;&quot;n/a&quot;"/>
    <numFmt numFmtId="170" formatCode="General"/>
    <numFmt numFmtId="171" formatCode="0.0%"/>
  </numFmts>
  <fonts count="13">
    <font>
      <sz val="11"/>
      <color theme="1"/>
      <name val="Calibri"/>
      <family val="2"/>
      <charset val="1"/>
    </font>
    <font>
      <sz val="10"/>
      <name val="Arial"/>
      <family val="0"/>
    </font>
    <font>
      <sz val="10"/>
      <name val="Arial"/>
      <family val="0"/>
    </font>
    <font>
      <sz val="10"/>
      <name val="Arial"/>
      <family val="0"/>
    </font>
    <font>
      <b val="true"/>
      <sz val="14"/>
      <name val="Arial"/>
      <family val="0"/>
      <charset val="1"/>
    </font>
    <font>
      <sz val="11"/>
      <name val="Arial"/>
      <family val="0"/>
      <charset val="1"/>
    </font>
    <font>
      <b val="true"/>
      <sz val="11"/>
      <name val="Arial"/>
      <family val="0"/>
      <charset val="1"/>
    </font>
    <font>
      <i val="true"/>
      <sz val="11"/>
      <name val="Arial"/>
      <family val="0"/>
      <charset val="1"/>
    </font>
    <font>
      <b val="true"/>
      <sz val="11"/>
      <color rgb="FFFFFFFF"/>
      <name val="Arial"/>
      <family val="0"/>
      <charset val="1"/>
    </font>
    <font>
      <sz val="11"/>
      <color rgb="FF008000"/>
      <name val="Arial"/>
      <family val="0"/>
      <charset val="1"/>
    </font>
    <font>
      <sz val="11"/>
      <color theme="1"/>
      <name val="Arial"/>
      <family val="0"/>
      <charset val="1"/>
    </font>
    <font>
      <sz val="11"/>
      <color rgb="FF0000FF"/>
      <name val="Arial"/>
      <family val="0"/>
      <charset val="1"/>
    </font>
    <font>
      <sz val="10"/>
      <name val="Arial"/>
      <family val="2"/>
    </font>
  </fonts>
  <fills count="4">
    <fill>
      <patternFill patternType="none"/>
    </fill>
    <fill>
      <patternFill patternType="gray125"/>
    </fill>
    <fill>
      <patternFill patternType="solid">
        <fgColor rgb="FF1F3864"/>
        <bgColor rgb="FF333333"/>
      </patternFill>
    </fill>
    <fill>
      <patternFill patternType="solid">
        <fgColor rgb="FFFFFF00"/>
        <bgColor rgb="FFFFFF00"/>
      </patternFill>
    </fill>
  </fills>
  <borders count="1">
    <border diagonalUp="false" diagonalDown="false">
      <left/>
      <right/>
      <top/>
      <bottom/>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33">
    <xf numFmtId="164" fontId="0" fillId="0" borderId="0" xfId="0" applyFont="false" applyBorder="false" applyAlignment="false" applyProtection="false">
      <alignment horizontal="general" vertical="bottom" textRotation="0" wrapText="false" indent="0" shrinkToFit="false"/>
      <protection locked="true" hidden="false"/>
    </xf>
    <xf numFmtId="164" fontId="4" fillId="0" borderId="0" xfId="0" applyFont="true" applyBorder="false" applyAlignment="true" applyProtection="false">
      <alignment horizontal="general" vertical="top" textRotation="0" wrapText="true" indent="0" shrinkToFit="false"/>
      <protection locked="true" hidden="false"/>
    </xf>
    <xf numFmtId="164" fontId="5" fillId="0" borderId="0" xfId="0" applyFont="true" applyBorder="false" applyAlignment="true" applyProtection="false">
      <alignment horizontal="general" vertical="top" textRotation="0" wrapText="true" indent="0" shrinkToFit="false"/>
      <protection locked="true" hidden="false"/>
    </xf>
    <xf numFmtId="164" fontId="6" fillId="0" borderId="0" xfId="0" applyFont="true" applyBorder="false" applyAlignment="true" applyProtection="false">
      <alignment horizontal="general" vertical="top" textRotation="0" wrapText="true" indent="0" shrinkToFit="false"/>
      <protection locked="true" hidden="false"/>
    </xf>
    <xf numFmtId="164" fontId="4" fillId="0" borderId="0" xfId="0" applyFont="true" applyBorder="false" applyAlignment="false" applyProtection="false">
      <alignment horizontal="general" vertical="bottom" textRotation="0" wrapText="false" indent="0" shrinkToFit="false"/>
      <protection locked="true" hidden="false"/>
    </xf>
    <xf numFmtId="164" fontId="7" fillId="0" borderId="0" xfId="0" applyFont="true" applyBorder="false" applyAlignment="false" applyProtection="false">
      <alignment horizontal="general" vertical="bottom" textRotation="0" wrapText="false" indent="0" shrinkToFit="false"/>
      <protection locked="true" hidden="false"/>
    </xf>
    <xf numFmtId="164" fontId="6" fillId="0" borderId="0" xfId="0" applyFont="true" applyBorder="false" applyAlignment="false" applyProtection="false">
      <alignment horizontal="general" vertical="bottom" textRotation="0" wrapText="false" indent="0" shrinkToFit="false"/>
      <protection locked="true" hidden="false"/>
    </xf>
    <xf numFmtId="164" fontId="8" fillId="2" borderId="0" xfId="0" applyFont="true" applyBorder="false" applyAlignment="true" applyProtection="false">
      <alignment horizontal="center" vertical="center" textRotation="0" wrapText="true" indent="0" shrinkToFit="false"/>
      <protection locked="true" hidden="false"/>
    </xf>
    <xf numFmtId="164" fontId="8" fillId="2" borderId="0" xfId="0" applyFont="true" applyBorder="true" applyAlignment="true" applyProtection="false">
      <alignment horizontal="center" vertical="center" textRotation="0" wrapText="true" indent="0" shrinkToFit="false"/>
      <protection locked="true" hidden="false"/>
    </xf>
    <xf numFmtId="164" fontId="5" fillId="0" borderId="0" xfId="0" applyFont="true" applyBorder="false" applyAlignment="true" applyProtection="false">
      <alignment horizontal="center" vertical="top" textRotation="0" wrapText="true" indent="0" shrinkToFit="false"/>
      <protection locked="true" hidden="false"/>
    </xf>
    <xf numFmtId="164" fontId="5" fillId="0" borderId="0" xfId="0" applyFont="true" applyBorder="true" applyAlignment="true" applyProtection="false">
      <alignment horizontal="general" vertical="top" textRotation="0" wrapText="true" indent="0" shrinkToFit="false"/>
      <protection locked="true" hidden="false"/>
    </xf>
    <xf numFmtId="164" fontId="5" fillId="0" borderId="0" xfId="0" applyFont="true" applyBorder="false" applyAlignment="false" applyProtection="false">
      <alignment horizontal="general" vertical="bottom" textRotation="0" wrapText="false" indent="0" shrinkToFit="false"/>
      <protection locked="true" hidden="false"/>
    </xf>
    <xf numFmtId="165" fontId="5" fillId="0" borderId="0" xfId="0" applyFont="true" applyBorder="false" applyAlignment="true" applyProtection="false">
      <alignment horizontal="center" vertical="top" textRotation="0" wrapText="true" indent="0" shrinkToFit="false"/>
      <protection locked="true" hidden="false"/>
    </xf>
    <xf numFmtId="166" fontId="5" fillId="0" borderId="0" xfId="0" applyFont="true" applyBorder="false" applyAlignment="true" applyProtection="false">
      <alignment horizontal="center" vertical="top" textRotation="0" wrapText="true" indent="0" shrinkToFit="false"/>
      <protection locked="true" hidden="false"/>
    </xf>
    <xf numFmtId="164" fontId="9" fillId="0" borderId="0" xfId="0" applyFont="true" applyBorder="false" applyAlignment="false" applyProtection="false">
      <alignment horizontal="general" vertical="bottom" textRotation="0" wrapText="false" indent="0" shrinkToFit="false"/>
      <protection locked="true" hidden="false"/>
    </xf>
    <xf numFmtId="165" fontId="9" fillId="0" borderId="0" xfId="0" applyFont="true" applyBorder="false" applyAlignment="true" applyProtection="false">
      <alignment horizontal="center" vertical="top" textRotation="0" wrapText="true" indent="0" shrinkToFit="false"/>
      <protection locked="true" hidden="false"/>
    </xf>
    <xf numFmtId="166" fontId="9" fillId="0" borderId="0" xfId="0" applyFont="true" applyBorder="false" applyAlignment="true" applyProtection="false">
      <alignment horizontal="center" vertical="top" textRotation="0" wrapText="true" indent="0" shrinkToFit="false"/>
      <protection locked="true" hidden="false"/>
    </xf>
    <xf numFmtId="167" fontId="9" fillId="0" borderId="0" xfId="0" applyFont="true" applyBorder="false" applyAlignment="true" applyProtection="false">
      <alignment horizontal="center" vertical="top" textRotation="0" wrapText="true" indent="0" shrinkToFit="false"/>
      <protection locked="true" hidden="false"/>
    </xf>
    <xf numFmtId="165" fontId="9" fillId="0" borderId="0" xfId="0" applyFont="true" applyBorder="false" applyAlignment="false" applyProtection="false">
      <alignment horizontal="general" vertical="bottom" textRotation="0" wrapText="false" indent="0" shrinkToFit="false"/>
      <protection locked="true" hidden="false"/>
    </xf>
    <xf numFmtId="164" fontId="10" fillId="0" borderId="0" xfId="0" applyFont="true" applyBorder="false" applyAlignment="false" applyProtection="false">
      <alignment horizontal="general" vertical="bottom" textRotation="0" wrapText="false" indent="0" shrinkToFit="false"/>
      <protection locked="true" hidden="false"/>
    </xf>
    <xf numFmtId="165" fontId="10" fillId="0" borderId="0" xfId="0" applyFont="true" applyBorder="false" applyAlignment="false" applyProtection="false">
      <alignment horizontal="general" vertical="bottom" textRotation="0" wrapText="false" indent="0" shrinkToFit="false"/>
      <protection locked="true" hidden="false"/>
    </xf>
    <xf numFmtId="168" fontId="10" fillId="0" borderId="0" xfId="0" applyFont="true" applyBorder="false" applyAlignment="false" applyProtection="false">
      <alignment horizontal="general" vertical="bottom" textRotation="0" wrapText="false" indent="0" shrinkToFit="false"/>
      <protection locked="true" hidden="false"/>
    </xf>
    <xf numFmtId="169" fontId="10" fillId="0" borderId="0" xfId="0" applyFont="true" applyBorder="false" applyAlignment="false" applyProtection="false">
      <alignment horizontal="general" vertical="bottom" textRotation="0" wrapText="false" indent="0" shrinkToFit="false"/>
      <protection locked="true" hidden="false"/>
    </xf>
    <xf numFmtId="166" fontId="10" fillId="0" borderId="0" xfId="0" applyFont="true" applyBorder="false" applyAlignment="false" applyProtection="false">
      <alignment horizontal="general" vertical="bottom" textRotation="0" wrapText="false" indent="0" shrinkToFit="false"/>
      <protection locked="true" hidden="false"/>
    </xf>
    <xf numFmtId="167" fontId="10" fillId="0" borderId="0" xfId="0" applyFont="true" applyBorder="false" applyAlignment="false" applyProtection="false">
      <alignment horizontal="general" vertical="bottom" textRotation="0" wrapText="false" indent="0" shrinkToFit="false"/>
      <protection locked="true" hidden="false"/>
    </xf>
    <xf numFmtId="164" fontId="11" fillId="0" borderId="0" xfId="0" applyFont="true" applyBorder="false" applyAlignment="false" applyProtection="false">
      <alignment horizontal="general" vertical="bottom" textRotation="0" wrapText="false" indent="0" shrinkToFit="false"/>
      <protection locked="true" hidden="false"/>
    </xf>
    <xf numFmtId="170" fontId="10" fillId="0" borderId="0" xfId="0" applyFont="true" applyBorder="false" applyAlignment="false" applyProtection="false">
      <alignment horizontal="general" vertical="bottom" textRotation="0" wrapText="false" indent="0" shrinkToFit="false"/>
      <protection locked="true" hidden="false"/>
    </xf>
    <xf numFmtId="164" fontId="11" fillId="0" borderId="0" xfId="0" applyFont="true" applyBorder="false" applyAlignment="true" applyProtection="false">
      <alignment horizontal="center" vertical="bottom" textRotation="0" wrapText="false" indent="0" shrinkToFit="false"/>
      <protection locked="true" hidden="false"/>
    </xf>
    <xf numFmtId="164" fontId="10" fillId="0" borderId="0" xfId="0" applyFont="true" applyBorder="false" applyAlignment="true" applyProtection="false">
      <alignment horizontal="general" vertical="bottom" textRotation="0" wrapText="false" indent="0" shrinkToFit="false"/>
      <protection locked="true" hidden="false"/>
    </xf>
    <xf numFmtId="171" fontId="10" fillId="0" borderId="0" xfId="0" applyFont="true" applyBorder="false" applyAlignment="false" applyProtection="false">
      <alignment horizontal="general" vertical="bottom" textRotation="0" wrapText="false" indent="0" shrinkToFit="false"/>
      <protection locked="true" hidden="false"/>
    </xf>
    <xf numFmtId="164" fontId="11" fillId="3" borderId="0" xfId="0" applyFont="true" applyBorder="false" applyAlignment="false" applyProtection="false">
      <alignment horizontal="general" vertical="bottom" textRotation="0" wrapText="false" indent="0" shrinkToFit="false"/>
      <protection locked="true" hidden="false"/>
    </xf>
    <xf numFmtId="166" fontId="11" fillId="3" borderId="0" xfId="0" applyFont="true" applyBorder="false" applyAlignment="false" applyProtection="false">
      <alignment horizontal="general" vertical="bottom" textRotation="0" wrapText="false" indent="0" shrinkToFit="false"/>
      <protection locked="true" hidden="false"/>
    </xf>
    <xf numFmtId="165" fontId="5" fillId="0" borderId="0" xfId="0" applyFont="true" applyBorder="false" applyAlignment="false" applyProtection="false">
      <alignment horizontal="general" vertical="bottom" textRotation="0" wrapText="fals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dxfs count="10">
    <dxf>
      <fill>
        <patternFill>
          <bgColor rgb="FFFCE4D6"/>
        </patternFill>
      </fill>
    </dxf>
    <dxf>
      <font>
        <color rgb="FFB0321F"/>
      </font>
    </dxf>
    <dxf>
      <fill>
        <patternFill>
          <bgColor rgb="FFC6EFCE"/>
        </patternFill>
      </fill>
    </dxf>
    <dxf>
      <fill>
        <patternFill>
          <bgColor rgb="FFFFC7CE"/>
        </patternFill>
      </fill>
    </dxf>
    <dxf>
      <fill>
        <patternFill>
          <bgColor rgb="FFFFEB9C"/>
        </patternFill>
      </fill>
    </dxf>
    <dxf>
      <fill>
        <patternFill>
          <bgColor rgb="FFDDEBF7"/>
        </patternFill>
      </fill>
    </dxf>
    <dxf>
      <fill>
        <patternFill>
          <bgColor rgb="FFE2EFDA"/>
        </patternFill>
      </fill>
    </dxf>
    <dxf>
      <fill>
        <patternFill>
          <bgColor rgb="FFF8696B"/>
        </patternFill>
      </fill>
    </dxf>
    <dxf>
      <fill>
        <patternFill>
          <bgColor rgb="FFFCBF8F"/>
        </patternFill>
      </fill>
    </dxf>
    <dxf>
      <fill>
        <patternFill>
          <bgColor rgb="FFFFF2CC"/>
        </patternFill>
      </fill>
    </dxf>
  </dxfs>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008080"/>
      <rgbColor rgb="FFFCE4D6"/>
      <rgbColor rgb="FF808080"/>
      <rgbColor rgb="FF9999FF"/>
      <rgbColor rgb="FF993366"/>
      <rgbColor rgb="FFFFF2CC"/>
      <rgbColor rgb="FFDDEBF7"/>
      <rgbColor rgb="FF660066"/>
      <rgbColor rgb="FFF8696B"/>
      <rgbColor rgb="FF0066CC"/>
      <rgbColor rgb="FFFFC7CE"/>
      <rgbColor rgb="FF000080"/>
      <rgbColor rgb="FFFF00FF"/>
      <rgbColor rgb="FFFFFF00"/>
      <rgbColor rgb="FF00FFFF"/>
      <rgbColor rgb="FF800080"/>
      <rgbColor rgb="FF800000"/>
      <rgbColor rgb="FF008080"/>
      <rgbColor rgb="FF0000FF"/>
      <rgbColor rgb="FF00CCFF"/>
      <rgbColor rgb="FFE2EFDA"/>
      <rgbColor rgb="FFC6EFCE"/>
      <rgbColor rgb="FFFFEB9C"/>
      <rgbColor rgb="FF99CCFF"/>
      <rgbColor rgb="FFFF99CC"/>
      <rgbColor rgb="FFCC99FF"/>
      <rgbColor rgb="FFFCBF8F"/>
      <rgbColor rgb="FF3366FF"/>
      <rgbColor rgb="FF33CCCC"/>
      <rgbColor rgb="FF99CC00"/>
      <rgbColor rgb="FFFFCC00"/>
      <rgbColor rgb="FFFF9900"/>
      <rgbColor rgb="FFFF6600"/>
      <rgbColor rgb="FF666699"/>
      <rgbColor rgb="FF969696"/>
      <rgbColor rgb="FF1F3864"/>
      <rgbColor rgb="FF339966"/>
      <rgbColor rgb="FF003300"/>
      <rgbColor rgb="FF333300"/>
      <rgbColor rgb="FFB0321F"/>
      <rgbColor rgb="FF993366"/>
      <rgbColor rgb="FF333399"/>
      <rgbColor rgb="FF333333"/>
    </indexedColors>
  </color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worksheet" Target="worksheets/sheet2.xml"/><Relationship Id="rId5" Type="http://schemas.openxmlformats.org/officeDocument/2006/relationships/worksheet" Target="worksheets/sheet3.xml"/><Relationship Id="rId6" Type="http://schemas.openxmlformats.org/officeDocument/2006/relationships/worksheet" Target="worksheets/sheet4.xml"/><Relationship Id="rId7" Type="http://schemas.openxmlformats.org/officeDocument/2006/relationships/worksheet" Target="worksheets/sheet5.xml"/><Relationship Id="rId8" Type="http://schemas.openxmlformats.org/officeDocument/2006/relationships/worksheet" Target="worksheets/sheet6.xml"/><Relationship Id="rId9" Type="http://schemas.openxmlformats.org/officeDocument/2006/relationships/worksheet" Target="worksheets/sheet7.xml"/><Relationship Id="rId10" Type="http://schemas.openxmlformats.org/officeDocument/2006/relationships/worksheet" Target="worksheets/sheet8.xml"/><Relationship Id="rId11" Type="http://schemas.openxmlformats.org/officeDocument/2006/relationships/worksheet" Target="worksheets/sheet9.xml"/><Relationship Id="rId12" Type="http://schemas.openxmlformats.org/officeDocument/2006/relationships/worksheet" Target="worksheets/sheet10.xml"/><Relationship Id="rId13" Type="http://schemas.openxmlformats.org/officeDocument/2006/relationships/worksheet" Target="worksheets/sheet11.xml"/><Relationship Id="rId14" Type="http://schemas.openxmlformats.org/officeDocument/2006/relationships/sharedStrings" Target="sharedStrings.xml"/>
</Relationships>
</file>

<file path=xl/theme/theme1.xml><?xml version="1.0" encoding="utf-8"?>
<a:theme xmlns:a="http://schemas.openxmlformats.org/drawingml/2006/main" xmlns:r="http://schemas.openxmlformats.org/officeDocument/2006/relationships"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itchFamily="0" charset="1"/>
        <a:ea typeface=""/>
        <a:cs typeface=""/>
      </a:majorFont>
      <a:minorFont>
        <a:latin typeface="Calibri" pitchFamily="0" charset="1"/>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l="0" t="0" r="0" b="0"/>
        </a:gradFill>
        <a:gradFill>
          <a:gsLst>
            <a:gs pos="0">
              <a:schemeClr val="phClr">
                <a:shade val="51000"/>
              </a:schemeClr>
            </a:gs>
            <a:gs pos="80000">
              <a:schemeClr val="phClr">
                <a:shade val="93000"/>
              </a:schemeClr>
            </a:gs>
            <a:gs pos="100000">
              <a:schemeClr val="phClr">
                <a:shade val="94000"/>
              </a:schemeClr>
            </a:gs>
          </a:gsLst>
          <a:lin ang="16200000" scaled="0"/>
          <a:tileRect l="0" t="0" r="0" b="0"/>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l="0" t="0" r="0" b="0"/>
        </a:gradFill>
        <a:gradFill>
          <a:gsLst>
            <a:gs pos="0">
              <a:schemeClr val="phClr">
                <a:tint val="80000"/>
              </a:schemeClr>
            </a:gs>
            <a:gs pos="100000">
              <a:schemeClr val="phClr">
                <a:shade val="30000"/>
              </a:schemeClr>
            </a:gs>
          </a:gsLst>
          <a:path path="circle">
            <a:fillToRect l="50000" t="50000" r="50000" b="50000"/>
          </a:path>
          <a:tileRect l="0" t="0" r="0" b="0"/>
        </a:gradFill>
      </a:bgFillStyleLst>
    </a:fmtScheme>
  </a:themeElements>
</a:theme>
</file>

<file path=xl/worksheets/_rels/sheet7.xml.rels><?xml version="1.0" encoding="UTF-8"?>
<Relationships xmlns="http://schemas.openxmlformats.org/package/2006/relationships"><Relationship Id="rId1" Type="http://schemas.openxmlformats.org/officeDocument/2006/relationships/comments" Target="../comments7.xml"/><Relationship Id="rId2" Type="http://schemas.openxmlformats.org/officeDocument/2006/relationships/vmlDrawing" Target="../drawings/vmlDrawing1.vml"/>
</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A41"/>
  <sheetViews>
    <sheetView showFormulas="false" showGridLines="true" showRowColHeaders="true" showZeros="true" rightToLeft="false" tabSelected="tru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140"/>
  </cols>
  <sheetData>
    <row r="1" customFormat="false" ht="17.35" hidden="false" customHeight="false" outlineLevel="0" collapsed="false">
      <c r="A1" s="1" t="s">
        <v>0</v>
      </c>
    </row>
    <row r="2" customFormat="false" ht="15" hidden="false" customHeight="false" outlineLevel="0" collapsed="false">
      <c r="A2" s="2" t="s">
        <v>1</v>
      </c>
    </row>
    <row r="3" customFormat="false" ht="15" hidden="false" customHeight="false" outlineLevel="0" collapsed="false">
      <c r="A3" s="2"/>
    </row>
    <row r="4" customFormat="false" ht="15" hidden="false" customHeight="false" outlineLevel="0" collapsed="false">
      <c r="A4" s="3" t="s">
        <v>2</v>
      </c>
    </row>
    <row r="5" customFormat="false" ht="15" hidden="false" customHeight="false" outlineLevel="0" collapsed="false">
      <c r="A5" s="2" t="s">
        <v>3</v>
      </c>
    </row>
    <row r="6" customFormat="false" ht="15" hidden="false" customHeight="false" outlineLevel="0" collapsed="false">
      <c r="A6" s="2" t="s">
        <v>4</v>
      </c>
    </row>
    <row r="7" customFormat="false" ht="15" hidden="false" customHeight="false" outlineLevel="0" collapsed="false">
      <c r="A7" s="2" t="s">
        <v>5</v>
      </c>
    </row>
    <row r="8" customFormat="false" ht="15" hidden="false" customHeight="false" outlineLevel="0" collapsed="false">
      <c r="A8" s="2"/>
    </row>
    <row r="9" customFormat="false" ht="15" hidden="false" customHeight="false" outlineLevel="0" collapsed="false">
      <c r="A9" s="3" t="s">
        <v>6</v>
      </c>
    </row>
    <row r="10" customFormat="false" ht="26.85" hidden="false" customHeight="false" outlineLevel="0" collapsed="false">
      <c r="A10" s="2" t="s">
        <v>7</v>
      </c>
    </row>
    <row r="11" customFormat="false" ht="26.85" hidden="false" customHeight="false" outlineLevel="0" collapsed="false">
      <c r="A11" s="2" t="s">
        <v>8</v>
      </c>
    </row>
    <row r="12" customFormat="false" ht="15" hidden="false" customHeight="false" outlineLevel="0" collapsed="false">
      <c r="A12" s="2" t="s">
        <v>9</v>
      </c>
    </row>
    <row r="13" customFormat="false" ht="15" hidden="false" customHeight="false" outlineLevel="0" collapsed="false">
      <c r="A13" s="2" t="s">
        <v>10</v>
      </c>
    </row>
    <row r="14" customFormat="false" ht="15" hidden="false" customHeight="false" outlineLevel="0" collapsed="false">
      <c r="A14" s="2" t="s">
        <v>11</v>
      </c>
    </row>
    <row r="15" customFormat="false" ht="26.85" hidden="false" customHeight="false" outlineLevel="0" collapsed="false">
      <c r="A15" s="2" t="s">
        <v>12</v>
      </c>
    </row>
    <row r="16" customFormat="false" ht="15" hidden="false" customHeight="false" outlineLevel="0" collapsed="false">
      <c r="A16" s="2" t="s">
        <v>13</v>
      </c>
    </row>
    <row r="17" customFormat="false" ht="15" hidden="false" customHeight="false" outlineLevel="0" collapsed="false">
      <c r="A17" s="2" t="s">
        <v>14</v>
      </c>
    </row>
    <row r="18" customFormat="false" ht="15" hidden="false" customHeight="false" outlineLevel="0" collapsed="false">
      <c r="A18" s="2" t="s">
        <v>15</v>
      </c>
    </row>
    <row r="19" customFormat="false" ht="15" hidden="false" customHeight="false" outlineLevel="0" collapsed="false">
      <c r="A19" s="2" t="s">
        <v>16</v>
      </c>
    </row>
    <row r="20" customFormat="false" ht="15" hidden="false" customHeight="false" outlineLevel="0" collapsed="false">
      <c r="A20" s="2"/>
    </row>
    <row r="21" customFormat="false" ht="15" hidden="false" customHeight="false" outlineLevel="0" collapsed="false">
      <c r="A21" s="3" t="s">
        <v>17</v>
      </c>
    </row>
    <row r="22" customFormat="false" ht="39.55" hidden="false" customHeight="false" outlineLevel="0" collapsed="false">
      <c r="A22" s="2" t="s">
        <v>18</v>
      </c>
    </row>
    <row r="23" customFormat="false" ht="15" hidden="false" customHeight="false" outlineLevel="0" collapsed="false">
      <c r="A23" s="2" t="s">
        <v>19</v>
      </c>
    </row>
    <row r="24" customFormat="false" ht="26.85" hidden="false" customHeight="false" outlineLevel="0" collapsed="false">
      <c r="A24" s="2" t="s">
        <v>20</v>
      </c>
    </row>
    <row r="25" customFormat="false" ht="26.85" hidden="false" customHeight="false" outlineLevel="0" collapsed="false">
      <c r="A25" s="2" t="s">
        <v>21</v>
      </c>
    </row>
    <row r="26" customFormat="false" ht="26.85" hidden="false" customHeight="false" outlineLevel="0" collapsed="false">
      <c r="A26" s="2" t="s">
        <v>22</v>
      </c>
    </row>
    <row r="27" customFormat="false" ht="15" hidden="false" customHeight="false" outlineLevel="0" collapsed="false">
      <c r="A27" s="2" t="s">
        <v>23</v>
      </c>
    </row>
    <row r="28" customFormat="false" ht="39.55" hidden="false" customHeight="false" outlineLevel="0" collapsed="false">
      <c r="A28" s="2" t="s">
        <v>24</v>
      </c>
    </row>
    <row r="29" customFormat="false" ht="15" hidden="false" customHeight="false" outlineLevel="0" collapsed="false">
      <c r="A29" s="2"/>
    </row>
    <row r="30" customFormat="false" ht="15" hidden="false" customHeight="false" outlineLevel="0" collapsed="false">
      <c r="A30" s="3" t="s">
        <v>25</v>
      </c>
    </row>
    <row r="31" customFormat="false" ht="15" hidden="false" customHeight="false" outlineLevel="0" collapsed="false">
      <c r="A31" s="2" t="s">
        <v>26</v>
      </c>
    </row>
    <row r="32" customFormat="false" ht="15" hidden="false" customHeight="false" outlineLevel="0" collapsed="false">
      <c r="A32" s="2" t="s">
        <v>27</v>
      </c>
    </row>
    <row r="33" customFormat="false" ht="15" hidden="false" customHeight="false" outlineLevel="0" collapsed="false">
      <c r="A33" s="2" t="s">
        <v>28</v>
      </c>
    </row>
    <row r="34" customFormat="false" ht="15" hidden="false" customHeight="false" outlineLevel="0" collapsed="false">
      <c r="A34" s="2" t="s">
        <v>29</v>
      </c>
    </row>
    <row r="35" customFormat="false" ht="15" hidden="false" customHeight="false" outlineLevel="0" collapsed="false">
      <c r="A35" s="2" t="s">
        <v>30</v>
      </c>
    </row>
    <row r="36" customFormat="false" ht="15" hidden="false" customHeight="false" outlineLevel="0" collapsed="false">
      <c r="A36" s="2"/>
    </row>
    <row r="37" customFormat="false" ht="15" hidden="false" customHeight="false" outlineLevel="0" collapsed="false">
      <c r="A37" s="3" t="s">
        <v>31</v>
      </c>
    </row>
    <row r="38" customFormat="false" ht="15" hidden="false" customHeight="false" outlineLevel="0" collapsed="false">
      <c r="A38" s="2" t="s">
        <v>32</v>
      </c>
    </row>
    <row r="39" customFormat="false" ht="15" hidden="false" customHeight="false" outlineLevel="0" collapsed="false">
      <c r="A39" s="2" t="s">
        <v>33</v>
      </c>
    </row>
    <row r="40" customFormat="false" ht="26.85" hidden="false" customHeight="false" outlineLevel="0" collapsed="false">
      <c r="A40" s="2" t="s">
        <v>34</v>
      </c>
    </row>
    <row r="41" customFormat="false" ht="15" hidden="false" customHeight="false" outlineLevel="0" collapsed="false">
      <c r="A41" s="2" t="s">
        <v>35</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H40"/>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30"/>
    <col collapsed="false" customWidth="true" hidden="false" outlineLevel="0" max="3" min="2" style="0" width="20"/>
    <col collapsed="false" customWidth="true" hidden="false" outlineLevel="0" max="4" min="4" style="0" width="18"/>
    <col collapsed="false" customWidth="true" hidden="false" outlineLevel="0" max="7" min="5" style="0" width="16"/>
    <col collapsed="false" customWidth="true" hidden="false" outlineLevel="0" max="8" min="8" style="0" width="34"/>
  </cols>
  <sheetData>
    <row r="1" customFormat="false" ht="17.35" hidden="false" customHeight="false" outlineLevel="0" collapsed="false">
      <c r="A1" s="4" t="s">
        <v>36</v>
      </c>
    </row>
    <row r="2" customFormat="false" ht="15" hidden="false" customHeight="false" outlineLevel="0" collapsed="false">
      <c r="A2" s="5" t="s">
        <v>37</v>
      </c>
    </row>
    <row r="4" customFormat="false" ht="15" hidden="false" customHeight="false" outlineLevel="0" collapsed="false">
      <c r="A4" s="6" t="s">
        <v>38</v>
      </c>
    </row>
    <row r="5" customFormat="false" ht="19.5" hidden="false" customHeight="true" outlineLevel="0" collapsed="false">
      <c r="A5" s="7" t="s">
        <v>39</v>
      </c>
      <c r="B5" s="7" t="s">
        <v>40</v>
      </c>
      <c r="C5" s="7" t="s">
        <v>41</v>
      </c>
      <c r="D5" s="8" t="s">
        <v>42</v>
      </c>
      <c r="E5" s="8"/>
      <c r="F5" s="8"/>
      <c r="G5" s="8"/>
      <c r="H5" s="8"/>
    </row>
    <row r="6" customFormat="false" ht="33.75" hidden="false" customHeight="true" outlineLevel="0" collapsed="false">
      <c r="A6" s="9" t="n">
        <v>1</v>
      </c>
      <c r="B6" s="2" t="s">
        <v>43</v>
      </c>
      <c r="C6" s="2" t="s">
        <v>44</v>
      </c>
      <c r="D6" s="10" t="s">
        <v>45</v>
      </c>
      <c r="E6" s="10"/>
      <c r="F6" s="10"/>
      <c r="G6" s="10"/>
      <c r="H6" s="10"/>
    </row>
    <row r="7" customFormat="false" ht="33.75" hidden="false" customHeight="true" outlineLevel="0" collapsed="false">
      <c r="A7" s="9" t="n">
        <v>2</v>
      </c>
      <c r="B7" s="2" t="s">
        <v>46</v>
      </c>
      <c r="C7" s="2" t="s">
        <v>47</v>
      </c>
      <c r="D7" s="10" t="s">
        <v>48</v>
      </c>
      <c r="E7" s="10"/>
      <c r="F7" s="10"/>
      <c r="G7" s="10"/>
      <c r="H7" s="10"/>
    </row>
    <row r="8" customFormat="false" ht="33.75" hidden="false" customHeight="true" outlineLevel="0" collapsed="false">
      <c r="A8" s="9" t="n">
        <v>3</v>
      </c>
      <c r="B8" s="2" t="s">
        <v>49</v>
      </c>
      <c r="C8" s="2" t="s">
        <v>50</v>
      </c>
      <c r="D8" s="10" t="s">
        <v>51</v>
      </c>
      <c r="E8" s="10"/>
      <c r="F8" s="10"/>
      <c r="G8" s="10"/>
      <c r="H8" s="10"/>
    </row>
    <row r="9" customFormat="false" ht="33.75" hidden="false" customHeight="true" outlineLevel="0" collapsed="false">
      <c r="A9" s="9" t="n">
        <v>4</v>
      </c>
      <c r="B9" s="2" t="s">
        <v>52</v>
      </c>
      <c r="C9" s="2" t="s">
        <v>53</v>
      </c>
      <c r="D9" s="10" t="s">
        <v>54</v>
      </c>
      <c r="E9" s="10"/>
      <c r="F9" s="10"/>
      <c r="G9" s="10"/>
      <c r="H9" s="10"/>
    </row>
    <row r="10" customFormat="false" ht="33.75" hidden="false" customHeight="true" outlineLevel="0" collapsed="false">
      <c r="A10" s="9" t="s">
        <v>55</v>
      </c>
      <c r="B10" s="2" t="s">
        <v>56</v>
      </c>
      <c r="C10" s="2" t="s">
        <v>57</v>
      </c>
      <c r="D10" s="10" t="s">
        <v>58</v>
      </c>
      <c r="E10" s="10"/>
      <c r="F10" s="10"/>
      <c r="G10" s="10"/>
      <c r="H10" s="10"/>
    </row>
    <row r="12" customFormat="false" ht="15" hidden="false" customHeight="false" outlineLevel="0" collapsed="false">
      <c r="A12" s="6" t="s">
        <v>59</v>
      </c>
    </row>
    <row r="13" customFormat="false" ht="26.85" hidden="false" customHeight="false" outlineLevel="0" collapsed="false">
      <c r="A13" s="7" t="s">
        <v>60</v>
      </c>
      <c r="B13" s="7" t="s">
        <v>61</v>
      </c>
      <c r="C13" s="7" t="s">
        <v>40</v>
      </c>
      <c r="D13" s="7" t="s">
        <v>62</v>
      </c>
      <c r="E13" s="7" t="s">
        <v>63</v>
      </c>
      <c r="F13" s="7" t="s">
        <v>64</v>
      </c>
      <c r="G13" s="7" t="s">
        <v>65</v>
      </c>
      <c r="H13" s="7" t="s">
        <v>66</v>
      </c>
    </row>
    <row r="14" customFormat="false" ht="15" hidden="false" customHeight="false" outlineLevel="0" collapsed="false">
      <c r="A14" s="11" t="s">
        <v>67</v>
      </c>
      <c r="B14" s="9" t="n">
        <v>1</v>
      </c>
      <c r="C14" s="11" t="s">
        <v>68</v>
      </c>
      <c r="D14" s="12" t="n">
        <f aca="false">INDEX('Planner 3329'!$H$22:$H$31,MATCH("GAGAI+GAALB",'Planner 3329'!$Q$22:$Q$31,0))</f>
        <v>66.1680968396135</v>
      </c>
      <c r="E14" s="13" t="n">
        <f aca="false">INDEX('Planner 3329'!$O$22:$O$31,MATCH("GAGAI+GAALB",'Planner 3329'!$Q$22:$Q$31,0))</f>
        <v>0.851013006422683</v>
      </c>
      <c r="F14" s="9" t="n">
        <v>11</v>
      </c>
      <c r="G14" s="9" t="n">
        <v>10</v>
      </c>
      <c r="H14" s="11" t="s">
        <v>69</v>
      </c>
    </row>
    <row r="15" customFormat="false" ht="15" hidden="false" customHeight="false" outlineLevel="0" collapsed="false">
      <c r="A15" s="11" t="s">
        <v>67</v>
      </c>
      <c r="B15" s="9" t="n">
        <v>2</v>
      </c>
      <c r="C15" s="11" t="s">
        <v>70</v>
      </c>
      <c r="D15" s="12" t="n">
        <f aca="false">INDEX('Planner 3329'!$H$22:$H$31,MATCH("GADAL+GAALB",'Planner 3329'!$Q$22:$Q$31,0))</f>
        <v>64.4648491350415</v>
      </c>
      <c r="E15" s="13" t="n">
        <f aca="false">INDEX('Planner 3329'!$O$22:$O$31,MATCH("GADAL+GAALB",'Planner 3329'!$Q$22:$Q$31,0))</f>
        <v>0.824110681852535</v>
      </c>
      <c r="F15" s="9" t="n">
        <v>18</v>
      </c>
      <c r="G15" s="9" t="n">
        <v>10</v>
      </c>
      <c r="H15" s="11" t="s">
        <v>71</v>
      </c>
    </row>
    <row r="16" customFormat="false" ht="15" hidden="false" customHeight="false" outlineLevel="0" collapsed="false">
      <c r="A16" s="11" t="s">
        <v>67</v>
      </c>
      <c r="B16" s="9" t="n">
        <v>3</v>
      </c>
      <c r="C16" s="11" t="s">
        <v>72</v>
      </c>
      <c r="D16" s="12" t="n">
        <f aca="false">INDEX('Planner 3329'!$H$22:$H$31,MATCH("GAGWI+GAALB",'Planner 3329'!$Q$22:$Q$31,0))</f>
        <v>64.4648491350415</v>
      </c>
      <c r="E16" s="13" t="n">
        <f aca="false">INDEX('Planner 3329'!$O$22:$O$31,MATCH("GAGWI+GAALB",'Planner 3329'!$Q$22:$Q$31,0))</f>
        <v>0.824110681852535</v>
      </c>
      <c r="F16" s="9" t="n">
        <v>3</v>
      </c>
      <c r="G16" s="9" t="n">
        <v>10</v>
      </c>
      <c r="H16" s="11" t="s">
        <v>73</v>
      </c>
    </row>
    <row r="17" customFormat="false" ht="15" hidden="false" customHeight="false" outlineLevel="0" collapsed="false">
      <c r="A17" s="11" t="s">
        <v>67</v>
      </c>
      <c r="B17" s="9" t="s">
        <v>55</v>
      </c>
      <c r="C17" s="11" t="s">
        <v>74</v>
      </c>
      <c r="D17" s="12" t="n">
        <f aca="false">INDEX('Planner 3329'!$H$22:$H$31,MATCH("GAALB+GADOU",'Planner 3329'!$Q$22:$Q$31,0))</f>
        <v>72.4018286262588</v>
      </c>
      <c r="E17" s="13" t="n">
        <f aca="false">INDEX('Planner 3329'!$O$22:$O$31,MATCH("GAALB+GADOU",'Planner 3329'!$Q$22:$Q$31,0))</f>
        <v>0.925358906557003</v>
      </c>
      <c r="F17" s="9" t="n">
        <v>4</v>
      </c>
      <c r="G17" s="9" t="n">
        <v>3</v>
      </c>
      <c r="H17" s="11" t="s">
        <v>75</v>
      </c>
    </row>
    <row r="18" customFormat="false" ht="15" hidden="false" customHeight="false" outlineLevel="0" collapsed="false">
      <c r="A18" s="11" t="s">
        <v>70</v>
      </c>
      <c r="B18" s="9" t="n">
        <v>1</v>
      </c>
      <c r="C18" s="11" t="s">
        <v>67</v>
      </c>
      <c r="D18" s="12" t="n">
        <f aca="false">INDEX('Planner 3329'!$H$22:$H$31,MATCH("GADAL+GAALB",'Planner 3329'!$Q$22:$Q$31,0))</f>
        <v>64.4648491350415</v>
      </c>
      <c r="E18" s="13" t="n">
        <f aca="false">INDEX('Planner 3329'!$O$22:$O$31,MATCH("GADAL+GAALB",'Planner 3329'!$Q$22:$Q$31,0))</f>
        <v>0.824110681852535</v>
      </c>
      <c r="F18" s="9" t="n">
        <v>18</v>
      </c>
      <c r="G18" s="9" t="n">
        <v>10</v>
      </c>
      <c r="H18" s="11" t="s">
        <v>71</v>
      </c>
    </row>
    <row r="19" customFormat="false" ht="15" hidden="false" customHeight="false" outlineLevel="0" collapsed="false">
      <c r="A19" s="11" t="s">
        <v>70</v>
      </c>
      <c r="B19" s="9" t="n">
        <v>2</v>
      </c>
      <c r="C19" s="11" t="s">
        <v>72</v>
      </c>
      <c r="D19" s="12" t="n">
        <f aca="false">INDEX('Planner 3329'!$H$22:$H$31,MATCH("GADAL+GAGWI",'Planner 3329'!$Q$22:$Q$31,0))</f>
        <v>60.8959046607998</v>
      </c>
      <c r="E19" s="13" t="n">
        <f aca="false">INDEX('Planner 3329'!$O$22:$O$31,MATCH("GADAL+GAGWI",'Planner 3329'!$Q$22:$Q$31,0))</f>
        <v>0.758473729653592</v>
      </c>
      <c r="F19" s="9" t="n">
        <v>12</v>
      </c>
      <c r="G19" s="9" t="n">
        <v>16</v>
      </c>
      <c r="H19" s="11" t="s">
        <v>71</v>
      </c>
    </row>
    <row r="20" customFormat="false" ht="15" hidden="false" customHeight="false" outlineLevel="0" collapsed="false">
      <c r="A20" s="11" t="s">
        <v>70</v>
      </c>
      <c r="B20" s="9" t="n">
        <v>3</v>
      </c>
      <c r="C20" s="11" t="s">
        <v>68</v>
      </c>
      <c r="D20" s="12" t="n">
        <f aca="false">INDEX('Planner 3329'!$H$22:$H$31,MATCH("GADAL+GAGAI",'Planner 3329'!$Q$22:$Q$31,0))</f>
        <v>62.5991523653718</v>
      </c>
      <c r="E20" s="13" t="n">
        <f aca="false">INDEX('Planner 3329'!$O$22:$O$31,MATCH("GADAL+GAGAI",'Planner 3329'!$Q$22:$Q$31,0))</f>
        <v>0.791329934534975</v>
      </c>
      <c r="F20" s="9" t="n">
        <v>4</v>
      </c>
      <c r="G20" s="9" t="n">
        <v>16</v>
      </c>
      <c r="H20" s="11" t="s">
        <v>76</v>
      </c>
    </row>
    <row r="21" customFormat="false" ht="15" hidden="false" customHeight="false" outlineLevel="0" collapsed="false">
      <c r="A21" s="11" t="s">
        <v>70</v>
      </c>
      <c r="B21" s="9" t="n">
        <v>4</v>
      </c>
      <c r="C21" s="11" t="s">
        <v>74</v>
      </c>
      <c r="D21" s="12" t="n">
        <f aca="false">INDEX('Planner 3329'!$H$22:$H$31,MATCH("GADAL+GADOU",'Planner 3329'!$Q$22:$Q$31,0))</f>
        <v>68.8328841520171</v>
      </c>
      <c r="E21" s="13" t="n">
        <f aca="false">INDEX('Planner 3329'!$O$22:$O$31,MATCH("GADAL+GADOU",'Planner 3329'!$Q$22:$Q$31,0))</f>
        <v>0.887306596901779</v>
      </c>
      <c r="F21" s="9" t="n">
        <v>25</v>
      </c>
      <c r="G21" s="9" t="n">
        <v>3</v>
      </c>
      <c r="H21" s="11" t="s">
        <v>77</v>
      </c>
    </row>
    <row r="22" customFormat="false" ht="15" hidden="false" customHeight="false" outlineLevel="0" collapsed="false">
      <c r="A22" s="11" t="s">
        <v>68</v>
      </c>
      <c r="B22" s="9" t="n">
        <v>1</v>
      </c>
      <c r="C22" s="11" t="s">
        <v>67</v>
      </c>
      <c r="D22" s="12" t="n">
        <f aca="false">INDEX('Planner 3329'!$H$22:$H$31,MATCH("GAGAI+GAALB",'Planner 3329'!$Q$22:$Q$31,0))</f>
        <v>66.1680968396135</v>
      </c>
      <c r="E22" s="13" t="n">
        <f aca="false">INDEX('Planner 3329'!$O$22:$O$31,MATCH("GAGAI+GAALB",'Planner 3329'!$Q$22:$Q$31,0))</f>
        <v>0.851013006422683</v>
      </c>
      <c r="F22" s="9" t="n">
        <v>11</v>
      </c>
      <c r="G22" s="9" t="n">
        <v>10</v>
      </c>
      <c r="H22" s="11" t="s">
        <v>69</v>
      </c>
    </row>
    <row r="23" customFormat="false" ht="15" hidden="false" customHeight="false" outlineLevel="0" collapsed="false">
      <c r="A23" s="11" t="s">
        <v>68</v>
      </c>
      <c r="B23" s="9" t="n">
        <v>2</v>
      </c>
      <c r="C23" s="11" t="s">
        <v>70</v>
      </c>
      <c r="D23" s="12" t="n">
        <f aca="false">INDEX('Planner 3329'!$H$22:$H$31,MATCH("GADAL+GAGAI",'Planner 3329'!$Q$22:$Q$31,0))</f>
        <v>62.5991523653718</v>
      </c>
      <c r="E23" s="13" t="n">
        <f aca="false">INDEX('Planner 3329'!$O$22:$O$31,MATCH("GADAL+GAGAI",'Planner 3329'!$Q$22:$Q$31,0))</f>
        <v>0.791329934534975</v>
      </c>
      <c r="F23" s="9" t="n">
        <v>4</v>
      </c>
      <c r="G23" s="9" t="n">
        <v>16</v>
      </c>
      <c r="H23" s="11" t="s">
        <v>76</v>
      </c>
    </row>
    <row r="24" customFormat="false" ht="15" hidden="false" customHeight="false" outlineLevel="0" collapsed="false">
      <c r="A24" s="11" t="s">
        <v>68</v>
      </c>
      <c r="B24" s="9" t="n">
        <v>3</v>
      </c>
      <c r="C24" s="11" t="s">
        <v>72</v>
      </c>
      <c r="D24" s="12" t="n">
        <f aca="false">INDEX('Planner 3329'!$H$22:$H$31,MATCH("GAGAI+GAGWI",'Planner 3329'!$Q$22:$Q$31,0))</f>
        <v>62.5991523653718</v>
      </c>
      <c r="E24" s="13" t="n">
        <f aca="false">INDEX('Planner 3329'!$O$22:$O$31,MATCH("GAGAI+GAGWI",'Planner 3329'!$Q$22:$Q$31,0))</f>
        <v>0.791329934534975</v>
      </c>
      <c r="F24" s="9" t="n">
        <v>5</v>
      </c>
      <c r="G24" s="9" t="n">
        <v>16</v>
      </c>
      <c r="H24" s="11" t="s">
        <v>76</v>
      </c>
    </row>
    <row r="25" customFormat="false" ht="15" hidden="false" customHeight="false" outlineLevel="0" collapsed="false">
      <c r="A25" s="11" t="s">
        <v>68</v>
      </c>
      <c r="B25" s="9" t="n">
        <v>4</v>
      </c>
      <c r="C25" s="11" t="s">
        <v>74</v>
      </c>
      <c r="D25" s="12" t="n">
        <f aca="false">INDEX('Planner 3329'!$H$22:$H$31,MATCH("GAGAI+GADOU",'Planner 3329'!$Q$22:$Q$31,0))</f>
        <v>70.5361318565891</v>
      </c>
      <c r="E25" s="13" t="n">
        <f aca="false">INDEX('Planner 3329'!$O$22:$O$31,MATCH("GAGAI+GADOU",'Planner 3329'!$Q$22:$Q$31,0))</f>
        <v>0.90691112527624</v>
      </c>
      <c r="F25" s="9" t="n">
        <v>18</v>
      </c>
      <c r="G25" s="9" t="n">
        <v>3</v>
      </c>
      <c r="H25" s="11" t="s">
        <v>77</v>
      </c>
    </row>
    <row r="27" customFormat="false" ht="15" hidden="false" customHeight="false" outlineLevel="0" collapsed="false">
      <c r="A27" s="6" t="s">
        <v>78</v>
      </c>
    </row>
    <row r="28" customFormat="false" ht="26.85" hidden="false" customHeight="false" outlineLevel="0" collapsed="false">
      <c r="A28" s="7" t="s">
        <v>79</v>
      </c>
      <c r="B28" s="7" t="s">
        <v>80</v>
      </c>
      <c r="C28" s="7" t="s">
        <v>62</v>
      </c>
      <c r="D28" s="7" t="s">
        <v>63</v>
      </c>
      <c r="E28" s="7" t="s">
        <v>81</v>
      </c>
    </row>
    <row r="29" customFormat="false" ht="15" hidden="false" customHeight="false" outlineLevel="0" collapsed="false">
      <c r="A29" s="14" t="str">
        <f aca="false">'Planner 3329'!A39</f>
        <v>First choice / first choice</v>
      </c>
      <c r="B29" s="14" t="str">
        <f aca="false">'Planner 3329'!B39</f>
        <v>Albany + Gainesville</v>
      </c>
      <c r="C29" s="15" t="n">
        <f aca="false">'Planner 3329'!C39</f>
        <v>66.1680968396135</v>
      </c>
      <c r="D29" s="16" t="n">
        <f aca="false">'Planner 3329'!D39</f>
        <v>0.851013006422683</v>
      </c>
      <c r="E29" s="17" t="n">
        <f aca="false">'Planner 3329'!E39</f>
        <v>46.6346275080378</v>
      </c>
    </row>
    <row r="30" customFormat="false" ht="15" hidden="false" customHeight="false" outlineLevel="0" collapsed="false">
      <c r="A30" s="14" t="str">
        <f aca="false">'Planner 3329'!A40</f>
        <v>First choice / second choice</v>
      </c>
      <c r="B30" s="14" t="str">
        <f aca="false">'Planner 3329'!B40</f>
        <v>Albany + Dalton</v>
      </c>
      <c r="C30" s="15" t="n">
        <f aca="false">'Planner 3329'!C40</f>
        <v>64.4648491350415</v>
      </c>
      <c r="D30" s="16" t="n">
        <f aca="false">'Planner 3329'!D40</f>
        <v>0.824110681852535</v>
      </c>
      <c r="E30" s="17" t="n">
        <f aca="false">'Planner 3329'!E40</f>
        <v>44.9313798034658</v>
      </c>
    </row>
    <row r="31" customFormat="false" ht="15" hidden="false" customHeight="false" outlineLevel="0" collapsed="false">
      <c r="A31" s="14" t="str">
        <f aca="false">'Planner 3329'!A41</f>
        <v>Second choice / first choice</v>
      </c>
      <c r="B31" s="14" t="str">
        <f aca="false">'Planner 3329'!B41</f>
        <v>Dalton + Albany</v>
      </c>
      <c r="C31" s="15" t="n">
        <f aca="false">'Planner 3329'!C41</f>
        <v>64.4648491350415</v>
      </c>
      <c r="D31" s="16" t="n">
        <f aca="false">'Planner 3329'!D41</f>
        <v>0.824110681852535</v>
      </c>
      <c r="E31" s="17" t="n">
        <f aca="false">'Planner 3329'!E41</f>
        <v>44.9313798034658</v>
      </c>
    </row>
    <row r="32" customFormat="false" ht="15" hidden="false" customHeight="false" outlineLevel="0" collapsed="false">
      <c r="A32" s="14" t="str">
        <f aca="false">'Planner 3329'!A42</f>
        <v>Second choice / second choice</v>
      </c>
      <c r="B32" s="14" t="str">
        <f aca="false">'Planner 3329'!B42</f>
        <v>Dalton + Gwinnett</v>
      </c>
      <c r="C32" s="15" t="n">
        <f aca="false">'Planner 3329'!C42</f>
        <v>60.8959046607998</v>
      </c>
      <c r="D32" s="16" t="n">
        <f aca="false">'Planner 3329'!D42</f>
        <v>0.758473729653592</v>
      </c>
      <c r="E32" s="17" t="n">
        <f aca="false">'Planner 3329'!E42</f>
        <v>41.3624353292242</v>
      </c>
    </row>
    <row r="34" customFormat="false" ht="15" hidden="false" customHeight="false" outlineLevel="0" collapsed="false">
      <c r="A34" s="6" t="s">
        <v>82</v>
      </c>
    </row>
    <row r="35" customFormat="false" ht="15" hidden="false" customHeight="false" outlineLevel="0" collapsed="false">
      <c r="A35" s="11" t="s">
        <v>83</v>
      </c>
    </row>
    <row r="36" customFormat="false" ht="15" hidden="false" customHeight="false" outlineLevel="0" collapsed="false">
      <c r="A36" s="11" t="s">
        <v>84</v>
      </c>
    </row>
    <row r="37" customFormat="false" ht="15" hidden="false" customHeight="false" outlineLevel="0" collapsed="false">
      <c r="A37" s="11" t="s">
        <v>85</v>
      </c>
    </row>
    <row r="38" customFormat="false" ht="15" hidden="false" customHeight="false" outlineLevel="0" collapsed="false">
      <c r="A38" s="11" t="s">
        <v>86</v>
      </c>
    </row>
    <row r="40" customFormat="false" ht="15" hidden="false" customHeight="false" outlineLevel="0" collapsed="false">
      <c r="A40" s="5" t="s">
        <v>87</v>
      </c>
    </row>
  </sheetData>
  <mergeCells count="6">
    <mergeCell ref="D5:H5"/>
    <mergeCell ref="D6:H6"/>
    <mergeCell ref="D7:H7"/>
    <mergeCell ref="D8:H8"/>
    <mergeCell ref="D9:H9"/>
    <mergeCell ref="D10:H10"/>
  </mergeCells>
  <conditionalFormatting sqref="H14:H25">
    <cfRule type="expression" priority="2" aboveAverage="0" equalAverage="0" bottom="0" percent="0" rank="0" text="" dxfId="0">
      <formula>ISNUMBER(SEARCH("Target",$H14))</formula>
    </cfRule>
    <cfRule type="expression" priority="3" aboveAverage="0" equalAverage="0" bottom="0" percent="0" rank="0" text="" dxfId="1">
      <formula>ISNUMBER(SEARCH("Breaks",$H14))</formula>
    </cfRule>
  </conditionalFormatting>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Q48"/>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30"/>
    <col collapsed="false" customWidth="true" hidden="false" outlineLevel="0" max="2" min="2" style="0" width="26"/>
    <col collapsed="false" customWidth="true" hidden="false" outlineLevel="0" max="4" min="3" style="0" width="11"/>
    <col collapsed="false" customWidth="true" hidden="false" outlineLevel="0" max="5" min="5" style="0" width="12"/>
    <col collapsed="false" customWidth="true" hidden="false" outlineLevel="0" max="7" min="6" style="0" width="11"/>
    <col collapsed="false" customWidth="true" hidden="false" outlineLevel="0" max="8" min="8" style="0" width="13"/>
    <col collapsed="false" customWidth="true" hidden="false" outlineLevel="0" max="9" min="9" style="0" width="12"/>
    <col collapsed="false" customWidth="true" hidden="false" outlineLevel="0" max="11" min="10" style="0" width="11"/>
    <col collapsed="false" customWidth="true" hidden="false" outlineLevel="0" max="12" min="12" style="0" width="9"/>
    <col collapsed="false" customWidth="true" hidden="false" outlineLevel="0" max="13" min="13" style="0" width="20"/>
    <col collapsed="false" customWidth="true" hidden="false" outlineLevel="0" max="15" min="14" style="0" width="11"/>
    <col collapsed="false" customWidth="true" hidden="false" outlineLevel="0" max="16" min="16" style="0" width="12"/>
    <col collapsed="false" customWidth="true" hidden="false" outlineLevel="0" max="17" min="17" style="0" width="14"/>
  </cols>
  <sheetData>
    <row r="1" customFormat="false" ht="17.35" hidden="false" customHeight="false" outlineLevel="0" collapsed="false">
      <c r="A1" s="4" t="s">
        <v>88</v>
      </c>
    </row>
    <row r="3" customFormat="false" ht="15" hidden="false" customHeight="false" outlineLevel="0" collapsed="false">
      <c r="A3" s="6" t="s">
        <v>89</v>
      </c>
      <c r="B3" s="14" t="n">
        <f aca="false">Assumptions!B20</f>
        <v>3329</v>
      </c>
    </row>
    <row r="4" customFormat="false" ht="15" hidden="false" customHeight="false" outlineLevel="0" collapsed="false">
      <c r="A4" s="6" t="s">
        <v>90</v>
      </c>
      <c r="B4" s="14" t="str">
        <f aca="false">INDEX(Strength!$B$2:$B$76,MATCH(B3,Strength!$A$2:$A$76,0))</f>
        <v>Wildbots</v>
      </c>
    </row>
    <row r="5" customFormat="false" ht="15" hidden="false" customHeight="false" outlineLevel="0" collapsed="false">
      <c r="A5" s="6" t="s">
        <v>91</v>
      </c>
      <c r="B5" s="14" t="str">
        <f aca="false">INDEX(Strength!$C$2:$C$76,MATCH(B3,Strength!$A$2:$A$76,0))</f>
        <v>Kingsland</v>
      </c>
    </row>
    <row r="6" customFormat="false" ht="15" hidden="false" customHeight="false" outlineLevel="0" collapsed="false">
      <c r="A6" s="6" t="s">
        <v>92</v>
      </c>
      <c r="B6" s="18" t="n">
        <f aca="false">INDEX(Strength!$U$2:$U$76,MATCH(B3,Strength!$A$2:$A$76,0))</f>
        <v>39.720695970696</v>
      </c>
    </row>
    <row r="7" customFormat="false" ht="15" hidden="false" customHeight="false" outlineLevel="0" collapsed="false">
      <c r="A7" s="6" t="s">
        <v>93</v>
      </c>
      <c r="B7" s="14" t="n">
        <f aca="false">INDEX(Strength!$V$2:$V$76,MATCH(B3,Strength!$A$2:$A$76,0))</f>
        <v>26</v>
      </c>
    </row>
    <row r="8" customFormat="false" ht="15" hidden="false" customHeight="false" outlineLevel="0" collapsed="false">
      <c r="A8" s="6" t="s">
        <v>94</v>
      </c>
      <c r="B8" s="14" t="n">
        <f aca="false">INDEX(Strength!$G$2:$G$76,MATCH(B3,Strength!$A$2:$A$76,0))+INDEX(Strength!$I$2:$I$76,MATCH(B3,Strength!$A$2:$A$76,0))+INDEX(Strength!$J$2:$J$76,MATCH(B3,Strength!$A$2:$A$76,0))</f>
        <v>64</v>
      </c>
    </row>
    <row r="9" customFormat="false" ht="15" hidden="false" customHeight="false" outlineLevel="0" collapsed="false">
      <c r="A9" s="6" t="s">
        <v>95</v>
      </c>
      <c r="B9" s="14" t="str">
        <f aca="false">IF(ISERROR(INDEX('Forecast 2027'!$F$2:$F$76,MATCH(B3,'Forecast 2027'!$A$2:$A$76,0))&amp;" + "&amp;INDEX('Forecast 2027'!$G$2:$G$76,MATCH(B3,'Forecast 2027'!$A$2:$A$76,0))),"",INDEX('Forecast 2027'!$F$2:$F$76,MATCH(B3,'Forecast 2027'!$A$2:$A$76,0))&amp;" + "&amp;INDEX('Forecast 2027'!$G$2:$G$76,MATCH(B3,'Forecast 2027'!$A$2:$A$76,0)))</f>
        <v>GADAL + GAALB</v>
      </c>
    </row>
    <row r="10" customFormat="false" ht="15" hidden="false" customHeight="false" outlineLevel="0" collapsed="false">
      <c r="A10" s="6" t="s">
        <v>96</v>
      </c>
      <c r="B10" s="14" t="str">
        <f aca="false">Assumptions!B13&amp;" / "&amp;Assumptions!B14</f>
        <v>50 / 60</v>
      </c>
    </row>
    <row r="12" customFormat="false" ht="15" hidden="false" customHeight="false" outlineLevel="0" collapsed="false">
      <c r="A12" s="6" t="s">
        <v>97</v>
      </c>
    </row>
    <row r="13" customFormat="false" ht="52.2" hidden="false" customHeight="false" outlineLevel="0" collapsed="false">
      <c r="A13" s="7" t="s">
        <v>98</v>
      </c>
      <c r="B13" s="7" t="s">
        <v>99</v>
      </c>
      <c r="C13" s="7" t="s">
        <v>100</v>
      </c>
      <c r="D13" s="7" t="s">
        <v>101</v>
      </c>
      <c r="E13" s="7" t="s">
        <v>102</v>
      </c>
      <c r="F13" s="7" t="s">
        <v>103</v>
      </c>
      <c r="G13" s="7" t="s">
        <v>104</v>
      </c>
      <c r="H13" s="7" t="s">
        <v>105</v>
      </c>
    </row>
    <row r="14" customFormat="false" ht="15" hidden="false" customHeight="false" outlineLevel="0" collapsed="false">
      <c r="A14" s="19" t="s">
        <v>106</v>
      </c>
      <c r="B14" s="19" t="s">
        <v>70</v>
      </c>
      <c r="C14" s="19" t="n">
        <v>1</v>
      </c>
      <c r="D14" s="20" t="n">
        <f aca="false">IF(ISERROR(INDEX('Drive Times'!$D$12:$I$51,MATCH($B$5,'Drive Times'!$A$12:$A$51,0),MATCH(A14,'Drive Times'!$D$11:$I$11,0))),"",INDEX('Drive Times'!$D$12:$I$51,MATCH($B$5,'Drive Times'!$A$12:$A$51,0),MATCH(A14,'Drive Times'!$D$11:$I$11,0)))</f>
        <v>6.34820460522021</v>
      </c>
      <c r="E14" s="19" t="n">
        <f aca="false">INDEX('Events 2027'!$G$5:$G$9,MATCH(A14,'Events 2027'!$A$5:$A$9,0))</f>
        <v>30</v>
      </c>
      <c r="F14" s="19" t="n">
        <f aca="false">SUMPRODUCT(('Forecast 2027'!$F$2:$F$75=A14)*('Forecast 2027'!$D$2:$D$75&gt;$B$6))+SUMPRODUCT(('Forecast 2027'!$G$2:$G$75=A14)*('Forecast 2027'!$D$2:$D$75&gt;$B$6))</f>
        <v>11</v>
      </c>
      <c r="G14" s="20" t="n">
        <f aca="false">MAX(0,Assumptions!$B$9+Assumptions!$B$10*LN(1+F14))</f>
        <v>30.4479523303999</v>
      </c>
      <c r="H14" s="19" t="n">
        <f aca="false">INDEX('Events 2027'!$I$5:$I$9,MATCH(A14,'Events 2027'!$A$5:$A$9,0))</f>
        <v>5</v>
      </c>
    </row>
    <row r="15" customFormat="false" ht="15" hidden="false" customHeight="false" outlineLevel="0" collapsed="false">
      <c r="A15" s="19" t="s">
        <v>107</v>
      </c>
      <c r="B15" s="19" t="s">
        <v>68</v>
      </c>
      <c r="C15" s="19" t="n">
        <v>2</v>
      </c>
      <c r="D15" s="20" t="n">
        <f aca="false">IF(ISERROR(INDEX('Drive Times'!$D$12:$I$51,MATCH($B$5,'Drive Times'!$A$12:$A$51,0),MATCH(A15,'Drive Times'!$D$11:$I$11,0))),"",INDEX('Drive Times'!$D$12:$I$51,MATCH($B$5,'Drive Times'!$A$12:$A$51,0),MATCH(A15,'Drive Times'!$D$11:$I$11,0)))</f>
        <v>5.20857072672482</v>
      </c>
      <c r="E15" s="19" t="n">
        <f aca="false">INDEX('Events 2027'!$G$5:$G$9,MATCH(A15,'Events 2027'!$A$5:$A$9,0))</f>
        <v>30</v>
      </c>
      <c r="F15" s="19" t="n">
        <f aca="false">SUMPRODUCT(('Forecast 2027'!$F$2:$F$75=A15)*('Forecast 2027'!$D$2:$D$75&gt;$B$6))+SUMPRODUCT(('Forecast 2027'!$G$2:$G$75=A15)*('Forecast 2027'!$D$2:$D$75&gt;$B$6))</f>
        <v>10</v>
      </c>
      <c r="G15" s="20" t="n">
        <f aca="false">MAX(0,Assumptions!$B$9+Assumptions!$B$10*LN(1+F15))</f>
        <v>32.1512000349719</v>
      </c>
      <c r="H15" s="19" t="n">
        <f aca="false">INDEX('Events 2027'!$I$5:$I$9,MATCH(A15,'Events 2027'!$A$5:$A$9,0))</f>
        <v>3</v>
      </c>
    </row>
    <row r="16" customFormat="false" ht="15" hidden="false" customHeight="false" outlineLevel="0" collapsed="false">
      <c r="A16" s="19" t="s">
        <v>108</v>
      </c>
      <c r="B16" s="19" t="s">
        <v>109</v>
      </c>
      <c r="C16" s="19" t="n">
        <v>3</v>
      </c>
      <c r="D16" s="20" t="n">
        <f aca="false">IF(ISERROR(INDEX('Drive Times'!$D$12:$I$51,MATCH($B$5,'Drive Times'!$A$12:$A$51,0),MATCH(A16,'Drive Times'!$D$11:$I$11,0))),"",INDEX('Drive Times'!$D$12:$I$51,MATCH($B$5,'Drive Times'!$A$12:$A$51,0),MATCH(A16,'Drive Times'!$D$11:$I$11,0)))</f>
        <v>4.91924081652107</v>
      </c>
      <c r="E16" s="19" t="n">
        <f aca="false">INDEX('Events 2027'!$G$5:$G$9,MATCH(A16,'Events 2027'!$A$5:$A$9,0))</f>
        <v>30</v>
      </c>
      <c r="F16" s="19" t="n">
        <f aca="false">SUMPRODUCT(('Forecast 2027'!$F$2:$F$75=A16)*('Forecast 2027'!$D$2:$D$75&gt;$B$6))+SUMPRODUCT(('Forecast 2027'!$G$2:$G$75=A16)*('Forecast 2027'!$D$2:$D$75&gt;$B$6))</f>
        <v>11</v>
      </c>
      <c r="G16" s="20" t="n">
        <f aca="false">MAX(0,Assumptions!$B$9+Assumptions!$B$10*LN(1+F16))</f>
        <v>30.4479523303999</v>
      </c>
      <c r="H16" s="19" t="n">
        <f aca="false">INDEX('Events 2027'!$I$5:$I$9,MATCH(A16,'Events 2027'!$A$5:$A$9,0))</f>
        <v>4</v>
      </c>
    </row>
    <row r="17" customFormat="false" ht="15" hidden="false" customHeight="false" outlineLevel="0" collapsed="false">
      <c r="A17" s="19" t="s">
        <v>110</v>
      </c>
      <c r="B17" s="19" t="s">
        <v>67</v>
      </c>
      <c r="C17" s="19" t="n">
        <v>4</v>
      </c>
      <c r="D17" s="20" t="n">
        <f aca="false">IF(ISERROR(INDEX('Drive Times'!$D$12:$I$51,MATCH($B$5,'Drive Times'!$A$12:$A$51,0),MATCH(A17,'Drive Times'!$D$11:$I$11,0))),"",INDEX('Drive Times'!$D$12:$I$51,MATCH($B$5,'Drive Times'!$A$12:$A$51,0),MATCH(A17,'Drive Times'!$D$11:$I$11,0)))</f>
        <v>3.07487381145879</v>
      </c>
      <c r="E17" s="19" t="n">
        <f aca="false">INDEX('Events 2027'!$G$5:$G$9,MATCH(A17,'Events 2027'!$A$5:$A$9,0))</f>
        <v>28</v>
      </c>
      <c r="F17" s="19" t="n">
        <f aca="false">SUMPRODUCT(('Forecast 2027'!$F$2:$F$75=A17)*('Forecast 2027'!$D$2:$D$75&gt;$B$6))+SUMPRODUCT(('Forecast 2027'!$G$2:$G$75=A17)*('Forecast 2027'!$D$2:$D$75&gt;$B$6))</f>
        <v>9</v>
      </c>
      <c r="G17" s="20" t="n">
        <f aca="false">MAX(0,Assumptions!$B$9+Assumptions!$B$10*LN(1+F17))</f>
        <v>34.0168968046416</v>
      </c>
      <c r="H17" s="19" t="n">
        <f aca="false">INDEX('Events 2027'!$I$5:$I$9,MATCH(A17,'Events 2027'!$A$5:$A$9,0))</f>
        <v>5</v>
      </c>
    </row>
    <row r="18" customFormat="false" ht="15" hidden="false" customHeight="false" outlineLevel="0" collapsed="false">
      <c r="A18" s="19" t="s">
        <v>111</v>
      </c>
      <c r="B18" s="19" t="s">
        <v>74</v>
      </c>
      <c r="C18" s="19" t="n">
        <v>5</v>
      </c>
      <c r="D18" s="20" t="n">
        <f aca="false">IF(ISERROR(INDEX('Drive Times'!$D$12:$I$51,MATCH($B$5,'Drive Times'!$A$12:$A$51,0),MATCH(A18,'Drive Times'!$D$11:$I$11,0))),"",INDEX('Drive Times'!$D$12:$I$51,MATCH($B$5,'Drive Times'!$A$12:$A$51,0),MATCH(A18,'Drive Times'!$D$11:$I$11,0)))</f>
        <v>5.19499401231386</v>
      </c>
      <c r="E18" s="19" t="n">
        <f aca="false">INDEX('Events 2027'!$G$5:$G$9,MATCH(A18,'Events 2027'!$A$5:$A$9,0))</f>
        <v>30</v>
      </c>
      <c r="F18" s="19" t="n">
        <f aca="false">SUMPRODUCT(('Forecast 2027'!$F$2:$F$75=A18)*('Forecast 2027'!$D$2:$D$75&gt;$B$6))+SUMPRODUCT(('Forecast 2027'!$G$2:$G$75=A18)*('Forecast 2027'!$D$2:$D$75&gt;$B$6))</f>
        <v>7</v>
      </c>
      <c r="G18" s="20" t="n">
        <f aca="false">MAX(0,Assumptions!$B$9+Assumptions!$B$10*LN(1+F18))</f>
        <v>38.3849318216172</v>
      </c>
      <c r="H18" s="19" t="n">
        <f aca="false">INDEX('Events 2027'!$I$5:$I$9,MATCH(A18,'Events 2027'!$A$5:$A$9,0))</f>
        <v>3</v>
      </c>
    </row>
    <row r="20" customFormat="false" ht="15" hidden="false" customHeight="false" outlineLevel="0" collapsed="false">
      <c r="A20" s="6" t="s">
        <v>112</v>
      </c>
    </row>
    <row r="21" customFormat="false" ht="39.55" hidden="false" customHeight="false" outlineLevel="0" collapsed="false">
      <c r="A21" s="7" t="s">
        <v>113</v>
      </c>
      <c r="B21" s="7" t="s">
        <v>114</v>
      </c>
      <c r="C21" s="7" t="s">
        <v>115</v>
      </c>
      <c r="D21" s="7" t="s">
        <v>116</v>
      </c>
      <c r="E21" s="7" t="s">
        <v>117</v>
      </c>
      <c r="F21" s="7" t="s">
        <v>118</v>
      </c>
      <c r="G21" s="7" t="s">
        <v>119</v>
      </c>
      <c r="H21" s="7" t="s">
        <v>120</v>
      </c>
      <c r="I21" s="7" t="s">
        <v>121</v>
      </c>
      <c r="J21" s="7" t="s">
        <v>122</v>
      </c>
      <c r="K21" s="7" t="s">
        <v>123</v>
      </c>
      <c r="L21" s="7" t="s">
        <v>124</v>
      </c>
      <c r="M21" s="7" t="s">
        <v>125</v>
      </c>
      <c r="N21" s="7" t="s">
        <v>126</v>
      </c>
      <c r="O21" s="7" t="s">
        <v>63</v>
      </c>
      <c r="P21" s="7" t="s">
        <v>81</v>
      </c>
      <c r="Q21" s="7" t="s">
        <v>127</v>
      </c>
    </row>
    <row r="22" customFormat="false" ht="15" hidden="false" customHeight="false" outlineLevel="0" collapsed="false">
      <c r="A22" s="19" t="s">
        <v>106</v>
      </c>
      <c r="B22" s="19" t="s">
        <v>107</v>
      </c>
      <c r="C22" s="19" t="n">
        <f aca="false">INDEX($C$14:$C$18,MATCH(A22,$A$14:$A$18,0))</f>
        <v>1</v>
      </c>
      <c r="D22" s="19" t="n">
        <f aca="false">INDEX($C$14:$C$18,MATCH(B22,$A$14:$A$18,0))</f>
        <v>2</v>
      </c>
      <c r="E22" s="19" t="n">
        <f aca="false">ABS(D22-C22)</f>
        <v>1</v>
      </c>
      <c r="F22" s="20" t="n">
        <f aca="false">INDEX($G$14:$G$18,MATCH(A22,$A$14:$A$18,0))</f>
        <v>30.4479523303999</v>
      </c>
      <c r="G22" s="20" t="n">
        <f aca="false">INDEX($G$14:$G$18,MATCH(B22,$A$14:$A$18,0))</f>
        <v>32.1512000349719</v>
      </c>
      <c r="H22" s="20" t="n">
        <f aca="false">F22+G22</f>
        <v>62.5991523653718</v>
      </c>
      <c r="I22" s="20" t="n">
        <f aca="false">2*(INDEX($D$14:$D$18,MATCH(A22,$A$14:$A$18,0))+INDEX($D$14:$D$18,MATCH(B22,$A$14:$A$18,0)))</f>
        <v>23.1135506638901</v>
      </c>
      <c r="J22" s="21" t="n">
        <f aca="false">H22-Assumptions!$B$13</f>
        <v>12.5991523653718</v>
      </c>
      <c r="K22" s="19" t="str">
        <f aca="false">IF(H22&gt;=Assumptions!$B$14,"Safe",IF(H22&gt;=Assumptions!$B$13,"Borderline","At risk"))</f>
        <v>Safe</v>
      </c>
      <c r="L22" s="19" t="n">
        <f aca="false">RANK(H22,$H$22:$H$31)+COUNTIF($H$22:H22,H22)-1</f>
        <v>8</v>
      </c>
      <c r="M22" s="19" t="str">
        <f aca="false">IF(E22=1,"Back-to-back weeks",IF(E22&gt;=4,"Long gap",""))</f>
        <v>Back-to-back weeks</v>
      </c>
      <c r="N22" s="22" t="n">
        <f aca="false">IF(E22&gt;=2,H22,-1)</f>
        <v>-1</v>
      </c>
      <c r="O22" s="23" t="n">
        <f aca="false">1-NORMDIST(Assumptions!$B$13,H22,Assumptions!$B$33,1)</f>
        <v>0.791329934534975</v>
      </c>
      <c r="P22" s="24" t="n">
        <f aca="false">NORMINV(0.1,H22,Assumptions!$B$34)</f>
        <v>43.0656830337962</v>
      </c>
      <c r="Q22" s="19" t="str">
        <f aca="false">A22&amp;"+"&amp;B22</f>
        <v>GADAL+GAGAI</v>
      </c>
    </row>
    <row r="23" customFormat="false" ht="15" hidden="false" customHeight="false" outlineLevel="0" collapsed="false">
      <c r="A23" s="19" t="s">
        <v>106</v>
      </c>
      <c r="B23" s="19" t="s">
        <v>108</v>
      </c>
      <c r="C23" s="19" t="n">
        <f aca="false">INDEX($C$14:$C$18,MATCH(A23,$A$14:$A$18,0))</f>
        <v>1</v>
      </c>
      <c r="D23" s="19" t="n">
        <f aca="false">INDEX($C$14:$C$18,MATCH(B23,$A$14:$A$18,0))</f>
        <v>3</v>
      </c>
      <c r="E23" s="19" t="n">
        <f aca="false">ABS(D23-C23)</f>
        <v>2</v>
      </c>
      <c r="F23" s="20" t="n">
        <f aca="false">INDEX($G$14:$G$18,MATCH(A23,$A$14:$A$18,0))</f>
        <v>30.4479523303999</v>
      </c>
      <c r="G23" s="20" t="n">
        <f aca="false">INDEX($G$14:$G$18,MATCH(B23,$A$14:$A$18,0))</f>
        <v>30.4479523303999</v>
      </c>
      <c r="H23" s="20" t="n">
        <f aca="false">F23+G23</f>
        <v>60.8959046607998</v>
      </c>
      <c r="I23" s="20" t="n">
        <f aca="false">2*(INDEX($D$14:$D$18,MATCH(A23,$A$14:$A$18,0))+INDEX($D$14:$D$18,MATCH(B23,$A$14:$A$18,0)))</f>
        <v>22.5348908434825</v>
      </c>
      <c r="J23" s="21" t="n">
        <f aca="false">H23-Assumptions!$B$13</f>
        <v>10.8959046607998</v>
      </c>
      <c r="K23" s="19" t="str">
        <f aca="false">IF(H23&gt;=Assumptions!$B$14,"Safe",IF(H23&gt;=Assumptions!$B$13,"Borderline","At risk"))</f>
        <v>Safe</v>
      </c>
      <c r="L23" s="19" t="n">
        <f aca="false">RANK(H23,$H$22:$H$31)+COUNTIF($H$22:H23,H23)-1</f>
        <v>10</v>
      </c>
      <c r="M23" s="19" t="str">
        <f aca="false">IF(E23=1,"Back-to-back weeks",IF(E23&gt;=4,"Long gap",""))</f>
        <v/>
      </c>
      <c r="N23" s="22" t="n">
        <f aca="false">IF(E23&gt;=2,H23,-1)</f>
        <v>60.8959046607998</v>
      </c>
      <c r="O23" s="23" t="n">
        <f aca="false">1-NORMDIST(Assumptions!$B$13,H23,Assumptions!$B$33,1)</f>
        <v>0.758473729653592</v>
      </c>
      <c r="P23" s="24" t="n">
        <f aca="false">NORMINV(0.1,H23,Assumptions!$B$34)</f>
        <v>41.3624353292242</v>
      </c>
      <c r="Q23" s="19" t="str">
        <f aca="false">A23&amp;"+"&amp;B23</f>
        <v>GADAL+GAGWI</v>
      </c>
    </row>
    <row r="24" customFormat="false" ht="15" hidden="false" customHeight="false" outlineLevel="0" collapsed="false">
      <c r="A24" s="19" t="s">
        <v>106</v>
      </c>
      <c r="B24" s="19" t="s">
        <v>110</v>
      </c>
      <c r="C24" s="19" t="n">
        <f aca="false">INDEX($C$14:$C$18,MATCH(A24,$A$14:$A$18,0))</f>
        <v>1</v>
      </c>
      <c r="D24" s="19" t="n">
        <f aca="false">INDEX($C$14:$C$18,MATCH(B24,$A$14:$A$18,0))</f>
        <v>4</v>
      </c>
      <c r="E24" s="19" t="n">
        <f aca="false">ABS(D24-C24)</f>
        <v>3</v>
      </c>
      <c r="F24" s="20" t="n">
        <f aca="false">INDEX($G$14:$G$18,MATCH(A24,$A$14:$A$18,0))</f>
        <v>30.4479523303999</v>
      </c>
      <c r="G24" s="20" t="n">
        <f aca="false">INDEX($G$14:$G$18,MATCH(B24,$A$14:$A$18,0))</f>
        <v>34.0168968046416</v>
      </c>
      <c r="H24" s="20" t="n">
        <f aca="false">F24+G24</f>
        <v>64.4648491350415</v>
      </c>
      <c r="I24" s="20" t="n">
        <f aca="false">2*(INDEX($D$14:$D$18,MATCH(A24,$A$14:$A$18,0))+INDEX($D$14:$D$18,MATCH(B24,$A$14:$A$18,0)))</f>
        <v>18.846156833358</v>
      </c>
      <c r="J24" s="21" t="n">
        <f aca="false">H24-Assumptions!$B$13</f>
        <v>14.4648491350414</v>
      </c>
      <c r="K24" s="19" t="str">
        <f aca="false">IF(H24&gt;=Assumptions!$B$14,"Safe",IF(H24&gt;=Assumptions!$B$13,"Borderline","At risk"))</f>
        <v>Safe</v>
      </c>
      <c r="L24" s="19" t="n">
        <f aca="false">RANK(H24,$H$22:$H$31)+COUNTIF($H$22:H24,H24)-1</f>
        <v>6</v>
      </c>
      <c r="M24" s="19" t="str">
        <f aca="false">IF(E24=1,"Back-to-back weeks",IF(E24&gt;=4,"Long gap",""))</f>
        <v/>
      </c>
      <c r="N24" s="22" t="n">
        <f aca="false">IF(E24&gt;=2,H24,-1)</f>
        <v>64.4648491350415</v>
      </c>
      <c r="O24" s="23" t="n">
        <f aca="false">1-NORMDIST(Assumptions!$B$13,H24,Assumptions!$B$33,1)</f>
        <v>0.824110681852535</v>
      </c>
      <c r="P24" s="24" t="n">
        <f aca="false">NORMINV(0.1,H24,Assumptions!$B$34)</f>
        <v>44.9313798034658</v>
      </c>
      <c r="Q24" s="19" t="str">
        <f aca="false">A24&amp;"+"&amp;B24</f>
        <v>GADAL+GAALB</v>
      </c>
    </row>
    <row r="25" customFormat="false" ht="15" hidden="false" customHeight="false" outlineLevel="0" collapsed="false">
      <c r="A25" s="19" t="s">
        <v>106</v>
      </c>
      <c r="B25" s="19" t="s">
        <v>111</v>
      </c>
      <c r="C25" s="19" t="n">
        <f aca="false">INDEX($C$14:$C$18,MATCH(A25,$A$14:$A$18,0))</f>
        <v>1</v>
      </c>
      <c r="D25" s="19" t="n">
        <f aca="false">INDEX($C$14:$C$18,MATCH(B25,$A$14:$A$18,0))</f>
        <v>5</v>
      </c>
      <c r="E25" s="19" t="n">
        <f aca="false">ABS(D25-C25)</f>
        <v>4</v>
      </c>
      <c r="F25" s="20" t="n">
        <f aca="false">INDEX($G$14:$G$18,MATCH(A25,$A$14:$A$18,0))</f>
        <v>30.4479523303999</v>
      </c>
      <c r="G25" s="20" t="n">
        <f aca="false">INDEX($G$14:$G$18,MATCH(B25,$A$14:$A$18,0))</f>
        <v>38.3849318216172</v>
      </c>
      <c r="H25" s="20" t="n">
        <f aca="false">F25+G25</f>
        <v>68.8328841520171</v>
      </c>
      <c r="I25" s="20" t="n">
        <f aca="false">2*(INDEX($D$14:$D$18,MATCH(A25,$A$14:$A$18,0))+INDEX($D$14:$D$18,MATCH(B25,$A$14:$A$18,0)))</f>
        <v>23.0863972350681</v>
      </c>
      <c r="J25" s="21" t="n">
        <f aca="false">H25-Assumptions!$B$13</f>
        <v>18.8328841520171</v>
      </c>
      <c r="K25" s="19" t="str">
        <f aca="false">IF(H25&gt;=Assumptions!$B$14,"Safe",IF(H25&gt;=Assumptions!$B$13,"Borderline","At risk"))</f>
        <v>Safe</v>
      </c>
      <c r="L25" s="19" t="n">
        <f aca="false">RANK(H25,$H$22:$H$31)+COUNTIF($H$22:H25,H25)-1</f>
        <v>3</v>
      </c>
      <c r="M25" s="19" t="str">
        <f aca="false">IF(E25=1,"Back-to-back weeks",IF(E25&gt;=4,"Long gap",""))</f>
        <v>Long gap</v>
      </c>
      <c r="N25" s="22" t="n">
        <f aca="false">IF(E25&gt;=2,H25,-1)</f>
        <v>68.8328841520171</v>
      </c>
      <c r="O25" s="23" t="n">
        <f aca="false">1-NORMDIST(Assumptions!$B$13,H25,Assumptions!$B$33,1)</f>
        <v>0.887306596901779</v>
      </c>
      <c r="P25" s="24" t="n">
        <f aca="false">NORMINV(0.1,H25,Assumptions!$B$34)</f>
        <v>49.2994148204415</v>
      </c>
      <c r="Q25" s="19" t="str">
        <f aca="false">A25&amp;"+"&amp;B25</f>
        <v>GADAL+GADOU</v>
      </c>
    </row>
    <row r="26" customFormat="false" ht="15" hidden="false" customHeight="false" outlineLevel="0" collapsed="false">
      <c r="A26" s="19" t="s">
        <v>107</v>
      </c>
      <c r="B26" s="19" t="s">
        <v>108</v>
      </c>
      <c r="C26" s="19" t="n">
        <f aca="false">INDEX($C$14:$C$18,MATCH(A26,$A$14:$A$18,0))</f>
        <v>2</v>
      </c>
      <c r="D26" s="19" t="n">
        <f aca="false">INDEX($C$14:$C$18,MATCH(B26,$A$14:$A$18,0))</f>
        <v>3</v>
      </c>
      <c r="E26" s="19" t="n">
        <f aca="false">ABS(D26-C26)</f>
        <v>1</v>
      </c>
      <c r="F26" s="20" t="n">
        <f aca="false">INDEX($G$14:$G$18,MATCH(A26,$A$14:$A$18,0))</f>
        <v>32.1512000349719</v>
      </c>
      <c r="G26" s="20" t="n">
        <f aca="false">INDEX($G$14:$G$18,MATCH(B26,$A$14:$A$18,0))</f>
        <v>30.4479523303999</v>
      </c>
      <c r="H26" s="20" t="n">
        <f aca="false">F26+G26</f>
        <v>62.5991523653718</v>
      </c>
      <c r="I26" s="20" t="n">
        <f aca="false">2*(INDEX($D$14:$D$18,MATCH(A26,$A$14:$A$18,0))+INDEX($D$14:$D$18,MATCH(B26,$A$14:$A$18,0)))</f>
        <v>20.2556230864918</v>
      </c>
      <c r="J26" s="21" t="n">
        <f aca="false">H26-Assumptions!$B$13</f>
        <v>12.5991523653718</v>
      </c>
      <c r="K26" s="19" t="str">
        <f aca="false">IF(H26&gt;=Assumptions!$B$14,"Safe",IF(H26&gt;=Assumptions!$B$13,"Borderline","At risk"))</f>
        <v>Safe</v>
      </c>
      <c r="L26" s="19" t="n">
        <f aca="false">RANK(H26,$H$22:$H$31)+COUNTIF($H$22:H26,H26)-1</f>
        <v>9</v>
      </c>
      <c r="M26" s="19" t="str">
        <f aca="false">IF(E26=1,"Back-to-back weeks",IF(E26&gt;=4,"Long gap",""))</f>
        <v>Back-to-back weeks</v>
      </c>
      <c r="N26" s="22" t="n">
        <f aca="false">IF(E26&gt;=2,H26,-1)</f>
        <v>-1</v>
      </c>
      <c r="O26" s="23" t="n">
        <f aca="false">1-NORMDIST(Assumptions!$B$13,H26,Assumptions!$B$33,1)</f>
        <v>0.791329934534975</v>
      </c>
      <c r="P26" s="24" t="n">
        <f aca="false">NORMINV(0.1,H26,Assumptions!$B$34)</f>
        <v>43.0656830337962</v>
      </c>
      <c r="Q26" s="19" t="str">
        <f aca="false">A26&amp;"+"&amp;B26</f>
        <v>GAGAI+GAGWI</v>
      </c>
    </row>
    <row r="27" customFormat="false" ht="15" hidden="false" customHeight="false" outlineLevel="0" collapsed="false">
      <c r="A27" s="19" t="s">
        <v>107</v>
      </c>
      <c r="B27" s="19" t="s">
        <v>110</v>
      </c>
      <c r="C27" s="19" t="n">
        <f aca="false">INDEX($C$14:$C$18,MATCH(A27,$A$14:$A$18,0))</f>
        <v>2</v>
      </c>
      <c r="D27" s="19" t="n">
        <f aca="false">INDEX($C$14:$C$18,MATCH(B27,$A$14:$A$18,0))</f>
        <v>4</v>
      </c>
      <c r="E27" s="19" t="n">
        <f aca="false">ABS(D27-C27)</f>
        <v>2</v>
      </c>
      <c r="F27" s="20" t="n">
        <f aca="false">INDEX($G$14:$G$18,MATCH(A27,$A$14:$A$18,0))</f>
        <v>32.1512000349719</v>
      </c>
      <c r="G27" s="20" t="n">
        <f aca="false">INDEX($G$14:$G$18,MATCH(B27,$A$14:$A$18,0))</f>
        <v>34.0168968046416</v>
      </c>
      <c r="H27" s="20" t="n">
        <f aca="false">F27+G27</f>
        <v>66.1680968396135</v>
      </c>
      <c r="I27" s="20" t="n">
        <f aca="false">2*(INDEX($D$14:$D$18,MATCH(A27,$A$14:$A$18,0))+INDEX($D$14:$D$18,MATCH(B27,$A$14:$A$18,0)))</f>
        <v>16.5668890763672</v>
      </c>
      <c r="J27" s="21" t="n">
        <f aca="false">H27-Assumptions!$B$13</f>
        <v>16.1680968396135</v>
      </c>
      <c r="K27" s="19" t="str">
        <f aca="false">IF(H27&gt;=Assumptions!$B$14,"Safe",IF(H27&gt;=Assumptions!$B$13,"Borderline","At risk"))</f>
        <v>Safe</v>
      </c>
      <c r="L27" s="19" t="n">
        <f aca="false">RANK(H27,$H$22:$H$31)+COUNTIF($H$22:H27,H27)-1</f>
        <v>5</v>
      </c>
      <c r="M27" s="19" t="str">
        <f aca="false">IF(E27=1,"Back-to-back weeks",IF(E27&gt;=4,"Long gap",""))</f>
        <v/>
      </c>
      <c r="N27" s="22" t="n">
        <f aca="false">IF(E27&gt;=2,H27,-1)</f>
        <v>66.1680968396135</v>
      </c>
      <c r="O27" s="23" t="n">
        <f aca="false">1-NORMDIST(Assumptions!$B$13,H27,Assumptions!$B$33,1)</f>
        <v>0.851013006422683</v>
      </c>
      <c r="P27" s="24" t="n">
        <f aca="false">NORMINV(0.1,H27,Assumptions!$B$34)</f>
        <v>46.6346275080378</v>
      </c>
      <c r="Q27" s="19" t="str">
        <f aca="false">A27&amp;"+"&amp;B27</f>
        <v>GAGAI+GAALB</v>
      </c>
    </row>
    <row r="28" customFormat="false" ht="15" hidden="false" customHeight="false" outlineLevel="0" collapsed="false">
      <c r="A28" s="19" t="s">
        <v>107</v>
      </c>
      <c r="B28" s="19" t="s">
        <v>111</v>
      </c>
      <c r="C28" s="19" t="n">
        <f aca="false">INDEX($C$14:$C$18,MATCH(A28,$A$14:$A$18,0))</f>
        <v>2</v>
      </c>
      <c r="D28" s="19" t="n">
        <f aca="false">INDEX($C$14:$C$18,MATCH(B28,$A$14:$A$18,0))</f>
        <v>5</v>
      </c>
      <c r="E28" s="19" t="n">
        <f aca="false">ABS(D28-C28)</f>
        <v>3</v>
      </c>
      <c r="F28" s="20" t="n">
        <f aca="false">INDEX($G$14:$G$18,MATCH(A28,$A$14:$A$18,0))</f>
        <v>32.1512000349719</v>
      </c>
      <c r="G28" s="20" t="n">
        <f aca="false">INDEX($G$14:$G$18,MATCH(B28,$A$14:$A$18,0))</f>
        <v>38.3849318216172</v>
      </c>
      <c r="H28" s="20" t="n">
        <f aca="false">F28+G28</f>
        <v>70.5361318565891</v>
      </c>
      <c r="I28" s="20" t="n">
        <f aca="false">2*(INDEX($D$14:$D$18,MATCH(A28,$A$14:$A$18,0))+INDEX($D$14:$D$18,MATCH(B28,$A$14:$A$18,0)))</f>
        <v>20.8071294780774</v>
      </c>
      <c r="J28" s="21" t="n">
        <f aca="false">H28-Assumptions!$B$13</f>
        <v>20.5361318565891</v>
      </c>
      <c r="K28" s="19" t="str">
        <f aca="false">IF(H28&gt;=Assumptions!$B$14,"Safe",IF(H28&gt;=Assumptions!$B$13,"Borderline","At risk"))</f>
        <v>Safe</v>
      </c>
      <c r="L28" s="19" t="n">
        <f aca="false">RANK(H28,$H$22:$H$31)+COUNTIF($H$22:H28,H28)-1</f>
        <v>2</v>
      </c>
      <c r="M28" s="19" t="str">
        <f aca="false">IF(E28=1,"Back-to-back weeks",IF(E28&gt;=4,"Long gap",""))</f>
        <v/>
      </c>
      <c r="N28" s="22" t="n">
        <f aca="false">IF(E28&gt;=2,H28,-1)</f>
        <v>70.5361318565891</v>
      </c>
      <c r="O28" s="23" t="n">
        <f aca="false">1-NORMDIST(Assumptions!$B$13,H28,Assumptions!$B$33,1)</f>
        <v>0.90691112527624</v>
      </c>
      <c r="P28" s="24" t="n">
        <f aca="false">NORMINV(0.1,H28,Assumptions!$B$34)</f>
        <v>51.0026625250135</v>
      </c>
      <c r="Q28" s="19" t="str">
        <f aca="false">A28&amp;"+"&amp;B28</f>
        <v>GAGAI+GADOU</v>
      </c>
    </row>
    <row r="29" customFormat="false" ht="15" hidden="false" customHeight="false" outlineLevel="0" collapsed="false">
      <c r="A29" s="19" t="s">
        <v>108</v>
      </c>
      <c r="B29" s="19" t="s">
        <v>110</v>
      </c>
      <c r="C29" s="19" t="n">
        <f aca="false">INDEX($C$14:$C$18,MATCH(A29,$A$14:$A$18,0))</f>
        <v>3</v>
      </c>
      <c r="D29" s="19" t="n">
        <f aca="false">INDEX($C$14:$C$18,MATCH(B29,$A$14:$A$18,0))</f>
        <v>4</v>
      </c>
      <c r="E29" s="19" t="n">
        <f aca="false">ABS(D29-C29)</f>
        <v>1</v>
      </c>
      <c r="F29" s="20" t="n">
        <f aca="false">INDEX($G$14:$G$18,MATCH(A29,$A$14:$A$18,0))</f>
        <v>30.4479523303999</v>
      </c>
      <c r="G29" s="20" t="n">
        <f aca="false">INDEX($G$14:$G$18,MATCH(B29,$A$14:$A$18,0))</f>
        <v>34.0168968046416</v>
      </c>
      <c r="H29" s="20" t="n">
        <f aca="false">F29+G29</f>
        <v>64.4648491350415</v>
      </c>
      <c r="I29" s="20" t="n">
        <f aca="false">2*(INDEX($D$14:$D$18,MATCH(A29,$A$14:$A$18,0))+INDEX($D$14:$D$18,MATCH(B29,$A$14:$A$18,0)))</f>
        <v>15.9882292559597</v>
      </c>
      <c r="J29" s="21" t="n">
        <f aca="false">H29-Assumptions!$B$13</f>
        <v>14.4648491350414</v>
      </c>
      <c r="K29" s="19" t="str">
        <f aca="false">IF(H29&gt;=Assumptions!$B$14,"Safe",IF(H29&gt;=Assumptions!$B$13,"Borderline","At risk"))</f>
        <v>Safe</v>
      </c>
      <c r="L29" s="19" t="n">
        <f aca="false">RANK(H29,$H$22:$H$31)+COUNTIF($H$22:H29,H29)-1</f>
        <v>7</v>
      </c>
      <c r="M29" s="19" t="str">
        <f aca="false">IF(E29=1,"Back-to-back weeks",IF(E29&gt;=4,"Long gap",""))</f>
        <v>Back-to-back weeks</v>
      </c>
      <c r="N29" s="22" t="n">
        <f aca="false">IF(E29&gt;=2,H29,-1)</f>
        <v>-1</v>
      </c>
      <c r="O29" s="23" t="n">
        <f aca="false">1-NORMDIST(Assumptions!$B$13,H29,Assumptions!$B$33,1)</f>
        <v>0.824110681852535</v>
      </c>
      <c r="P29" s="24" t="n">
        <f aca="false">NORMINV(0.1,H29,Assumptions!$B$34)</f>
        <v>44.9313798034658</v>
      </c>
      <c r="Q29" s="19" t="str">
        <f aca="false">A29&amp;"+"&amp;B29</f>
        <v>GAGWI+GAALB</v>
      </c>
    </row>
    <row r="30" customFormat="false" ht="15" hidden="false" customHeight="false" outlineLevel="0" collapsed="false">
      <c r="A30" s="19" t="s">
        <v>108</v>
      </c>
      <c r="B30" s="19" t="s">
        <v>111</v>
      </c>
      <c r="C30" s="19" t="n">
        <f aca="false">INDEX($C$14:$C$18,MATCH(A30,$A$14:$A$18,0))</f>
        <v>3</v>
      </c>
      <c r="D30" s="19" t="n">
        <f aca="false">INDEX($C$14:$C$18,MATCH(B30,$A$14:$A$18,0))</f>
        <v>5</v>
      </c>
      <c r="E30" s="19" t="n">
        <f aca="false">ABS(D30-C30)</f>
        <v>2</v>
      </c>
      <c r="F30" s="20" t="n">
        <f aca="false">INDEX($G$14:$G$18,MATCH(A30,$A$14:$A$18,0))</f>
        <v>30.4479523303999</v>
      </c>
      <c r="G30" s="20" t="n">
        <f aca="false">INDEX($G$14:$G$18,MATCH(B30,$A$14:$A$18,0))</f>
        <v>38.3849318216172</v>
      </c>
      <c r="H30" s="20" t="n">
        <f aca="false">F30+G30</f>
        <v>68.8328841520171</v>
      </c>
      <c r="I30" s="20" t="n">
        <f aca="false">2*(INDEX($D$14:$D$18,MATCH(A30,$A$14:$A$18,0))+INDEX($D$14:$D$18,MATCH(B30,$A$14:$A$18,0)))</f>
        <v>20.2284696576698</v>
      </c>
      <c r="J30" s="21" t="n">
        <f aca="false">H30-Assumptions!$B$13</f>
        <v>18.8328841520171</v>
      </c>
      <c r="K30" s="19" t="str">
        <f aca="false">IF(H30&gt;=Assumptions!$B$14,"Safe",IF(H30&gt;=Assumptions!$B$13,"Borderline","At risk"))</f>
        <v>Safe</v>
      </c>
      <c r="L30" s="19" t="n">
        <f aca="false">RANK(H30,$H$22:$H$31)+COUNTIF($H$22:H30,H30)-1</f>
        <v>4</v>
      </c>
      <c r="M30" s="19" t="str">
        <f aca="false">IF(E30=1,"Back-to-back weeks",IF(E30&gt;=4,"Long gap",""))</f>
        <v/>
      </c>
      <c r="N30" s="22" t="n">
        <f aca="false">IF(E30&gt;=2,H30,-1)</f>
        <v>68.8328841520171</v>
      </c>
      <c r="O30" s="23" t="n">
        <f aca="false">1-NORMDIST(Assumptions!$B$13,H30,Assumptions!$B$33,1)</f>
        <v>0.887306596901779</v>
      </c>
      <c r="P30" s="24" t="n">
        <f aca="false">NORMINV(0.1,H30,Assumptions!$B$34)</f>
        <v>49.2994148204415</v>
      </c>
      <c r="Q30" s="19" t="str">
        <f aca="false">A30&amp;"+"&amp;B30</f>
        <v>GAGWI+GADOU</v>
      </c>
    </row>
    <row r="31" customFormat="false" ht="15" hidden="false" customHeight="false" outlineLevel="0" collapsed="false">
      <c r="A31" s="19" t="s">
        <v>110</v>
      </c>
      <c r="B31" s="19" t="s">
        <v>111</v>
      </c>
      <c r="C31" s="19" t="n">
        <f aca="false">INDEX($C$14:$C$18,MATCH(A31,$A$14:$A$18,0))</f>
        <v>4</v>
      </c>
      <c r="D31" s="19" t="n">
        <f aca="false">INDEX($C$14:$C$18,MATCH(B31,$A$14:$A$18,0))</f>
        <v>5</v>
      </c>
      <c r="E31" s="19" t="n">
        <f aca="false">ABS(D31-C31)</f>
        <v>1</v>
      </c>
      <c r="F31" s="20" t="n">
        <f aca="false">INDEX($G$14:$G$18,MATCH(A31,$A$14:$A$18,0))</f>
        <v>34.0168968046416</v>
      </c>
      <c r="G31" s="20" t="n">
        <f aca="false">INDEX($G$14:$G$18,MATCH(B31,$A$14:$A$18,0))</f>
        <v>38.3849318216172</v>
      </c>
      <c r="H31" s="20" t="n">
        <f aca="false">F31+G31</f>
        <v>72.4018286262588</v>
      </c>
      <c r="I31" s="20" t="n">
        <f aca="false">2*(INDEX($D$14:$D$18,MATCH(A31,$A$14:$A$18,0))+INDEX($D$14:$D$18,MATCH(B31,$A$14:$A$18,0)))</f>
        <v>16.5397356475453</v>
      </c>
      <c r="J31" s="21" t="n">
        <f aca="false">H31-Assumptions!$B$13</f>
        <v>22.4018286262588</v>
      </c>
      <c r="K31" s="19" t="str">
        <f aca="false">IF(H31&gt;=Assumptions!$B$14,"Safe",IF(H31&gt;=Assumptions!$B$13,"Borderline","At risk"))</f>
        <v>Safe</v>
      </c>
      <c r="L31" s="19" t="n">
        <f aca="false">RANK(H31,$H$22:$H$31)+COUNTIF($H$22:H31,H31)-1</f>
        <v>1</v>
      </c>
      <c r="M31" s="19" t="str">
        <f aca="false">IF(E31=1,"Back-to-back weeks",IF(E31&gt;=4,"Long gap",""))</f>
        <v>Back-to-back weeks</v>
      </c>
      <c r="N31" s="22" t="n">
        <f aca="false">IF(E31&gt;=2,H31,-1)</f>
        <v>-1</v>
      </c>
      <c r="O31" s="23" t="n">
        <f aca="false">1-NORMDIST(Assumptions!$B$13,H31,Assumptions!$B$33,1)</f>
        <v>0.925358906557003</v>
      </c>
      <c r="P31" s="24" t="n">
        <f aca="false">NORMINV(0.1,H31,Assumptions!$B$34)</f>
        <v>52.8683592946831</v>
      </c>
      <c r="Q31" s="19" t="str">
        <f aca="false">A31&amp;"+"&amp;B31</f>
        <v>GAALB+GADOU</v>
      </c>
    </row>
    <row r="33" customFormat="false" ht="15" hidden="false" customHeight="false" outlineLevel="0" collapsed="false">
      <c r="A33" s="6" t="s">
        <v>128</v>
      </c>
      <c r="B33" s="14" t="str">
        <f aca="false">INDEX($A$22:$A$31,MATCH(1,$L$22:$L$31,0))&amp;" + "&amp;INDEX($B$22:$B$31,MATCH(1,$L$22:$L$31,0))</f>
        <v>GAALB + GADOU</v>
      </c>
      <c r="C33" s="20" t="n">
        <f aca="false">INDEX($H$22:$H$31,MATCH(1,$L$22:$L$31,0))</f>
        <v>72.4018286262588</v>
      </c>
    </row>
    <row r="34" customFormat="false" ht="15" hidden="false" customHeight="false" outlineLevel="0" collapsed="false">
      <c r="A34" s="6" t="s">
        <v>129</v>
      </c>
      <c r="B34" s="14" t="str">
        <f aca="false">INDEX($A$22:$A$31,MATCH(MIN($I$22:$I$31),$I$22:$I$31,0))&amp;" + "&amp;INDEX($B$22:$B$31,MATCH(MIN($I$22:$I$31),$I$22:$I$31,0))</f>
        <v>GAGWI + GAALB</v>
      </c>
      <c r="C34" s="20" t="n">
        <f aca="false">INDEX($H$22:$H$31,MATCH(MIN($I$22:$I$31),$I$22:$I$31,0))</f>
        <v>64.4648491350415</v>
      </c>
    </row>
    <row r="35" customFormat="false" ht="15" hidden="false" customHeight="false" outlineLevel="0" collapsed="false">
      <c r="A35" s="6" t="s">
        <v>130</v>
      </c>
      <c r="B35" s="14" t="str">
        <f aca="false">INDEX($A$22:$A$31,MATCH(MAX($N$22:$N$31),$N$22:$N$31,0))&amp;" + "&amp;INDEX($B$22:$B$31,MATCH(MAX($N$22:$N$31),$N$22:$N$31,0))</f>
        <v>GAGAI + GADOU</v>
      </c>
      <c r="C35" s="20" t="n">
        <f aca="false">MAX($N$22:$N$31)</f>
        <v>70.5361318565891</v>
      </c>
    </row>
    <row r="37" customFormat="false" ht="15" hidden="false" customHeight="false" outlineLevel="0" collapsed="false">
      <c r="A37" s="6" t="s">
        <v>131</v>
      </c>
    </row>
    <row r="38" customFormat="false" ht="39.55" hidden="false" customHeight="false" outlineLevel="0" collapsed="false">
      <c r="A38" s="7" t="s">
        <v>132</v>
      </c>
      <c r="B38" s="7" t="s">
        <v>80</v>
      </c>
      <c r="C38" s="7" t="s">
        <v>120</v>
      </c>
      <c r="D38" s="7" t="s">
        <v>63</v>
      </c>
      <c r="E38" s="7" t="s">
        <v>81</v>
      </c>
    </row>
    <row r="39" customFormat="false" ht="15" hidden="false" customHeight="false" outlineLevel="0" collapsed="false">
      <c r="A39" s="19" t="s">
        <v>133</v>
      </c>
      <c r="B39" s="19" t="s">
        <v>134</v>
      </c>
      <c r="C39" s="20" t="n">
        <f aca="false">INDEX($H$22:$H$31,MATCH("GAGAI+GAALB",$Q$22:$Q$31,0))</f>
        <v>66.1680968396135</v>
      </c>
      <c r="D39" s="23" t="n">
        <f aca="false">INDEX($O$22:$O$31,MATCH("GAGAI+GAALB",$Q$22:$Q$31,0))</f>
        <v>0.851013006422683</v>
      </c>
      <c r="E39" s="24" t="n">
        <f aca="false">INDEX($P$22:$P$31,MATCH("GAGAI+GAALB",$Q$22:$Q$31,0))</f>
        <v>46.6346275080378</v>
      </c>
    </row>
    <row r="40" customFormat="false" ht="15" hidden="false" customHeight="false" outlineLevel="0" collapsed="false">
      <c r="A40" s="19" t="s">
        <v>135</v>
      </c>
      <c r="B40" s="19" t="s">
        <v>136</v>
      </c>
      <c r="C40" s="20" t="n">
        <f aca="false">INDEX($H$22:$H$31,MATCH("GADAL+GAALB",$Q$22:$Q$31,0))</f>
        <v>64.4648491350415</v>
      </c>
      <c r="D40" s="23" t="n">
        <f aca="false">INDEX($O$22:$O$31,MATCH("GADAL+GAALB",$Q$22:$Q$31,0))</f>
        <v>0.824110681852535</v>
      </c>
      <c r="E40" s="24" t="n">
        <f aca="false">INDEX($P$22:$P$31,MATCH("GADAL+GAALB",$Q$22:$Q$31,0))</f>
        <v>44.9313798034658</v>
      </c>
    </row>
    <row r="41" customFormat="false" ht="15" hidden="false" customHeight="false" outlineLevel="0" collapsed="false">
      <c r="A41" s="19" t="s">
        <v>137</v>
      </c>
      <c r="B41" s="19" t="s">
        <v>138</v>
      </c>
      <c r="C41" s="20" t="n">
        <f aca="false">INDEX($H$22:$H$31,MATCH("GADAL+GAALB",$Q$22:$Q$31,0))</f>
        <v>64.4648491350415</v>
      </c>
      <c r="D41" s="23" t="n">
        <f aca="false">INDEX($O$22:$O$31,MATCH("GADAL+GAALB",$Q$22:$Q$31,0))</f>
        <v>0.824110681852535</v>
      </c>
      <c r="E41" s="24" t="n">
        <f aca="false">INDEX($P$22:$P$31,MATCH("GADAL+GAALB",$Q$22:$Q$31,0))</f>
        <v>44.9313798034658</v>
      </c>
    </row>
    <row r="42" customFormat="false" ht="15" hidden="false" customHeight="false" outlineLevel="0" collapsed="false">
      <c r="A42" s="19" t="s">
        <v>139</v>
      </c>
      <c r="B42" s="19" t="s">
        <v>140</v>
      </c>
      <c r="C42" s="20" t="n">
        <f aca="false">INDEX($H$22:$H$31,MATCH("GADAL+GAGWI",$Q$22:$Q$31,0))</f>
        <v>60.8959046607998</v>
      </c>
      <c r="D42" s="23" t="n">
        <f aca="false">INDEX($O$22:$O$31,MATCH("GADAL+GAGWI",$Q$22:$Q$31,0))</f>
        <v>0.758473729653592</v>
      </c>
      <c r="E42" s="24" t="n">
        <f aca="false">INDEX($P$22:$P$31,MATCH("GADAL+GAGWI",$Q$22:$Q$31,0))</f>
        <v>41.3624353292242</v>
      </c>
    </row>
    <row r="43" customFormat="false" ht="15" hidden="false" customHeight="false" outlineLevel="0" collapsed="false">
      <c r="A43" s="5" t="s">
        <v>141</v>
      </c>
    </row>
    <row r="45" customFormat="false" ht="15" hidden="false" customHeight="false" outlineLevel="0" collapsed="false">
      <c r="A45" s="5" t="s">
        <v>142</v>
      </c>
    </row>
    <row r="46" customFormat="false" ht="15" hidden="false" customHeight="false" outlineLevel="0" collapsed="false">
      <c r="A46" s="5" t="s">
        <v>143</v>
      </c>
    </row>
    <row r="47" customFormat="false" ht="15" hidden="false" customHeight="false" outlineLevel="0" collapsed="false">
      <c r="A47" s="5" t="s">
        <v>144</v>
      </c>
    </row>
    <row r="48" customFormat="false" ht="15" hidden="false" customHeight="false" outlineLevel="0" collapsed="false">
      <c r="A48" s="5" t="s">
        <v>145</v>
      </c>
    </row>
  </sheetData>
  <conditionalFormatting sqref="K22:K31">
    <cfRule type="cellIs" priority="2" operator="equal" aboveAverage="0" equalAverage="0" bottom="0" percent="0" rank="0" text="" dxfId="2">
      <formula>"Safe"</formula>
    </cfRule>
    <cfRule type="cellIs" priority="3" operator="equal" aboveAverage="0" equalAverage="0" bottom="0" percent="0" rank="0" text="" dxfId="3">
      <formula>"At risk"</formula>
    </cfRule>
    <cfRule type="cellIs" priority="4" operator="equal" aboveAverage="0" equalAverage="0" bottom="0" percent="0" rank="0" text="" dxfId="4">
      <formula>"Borderline"</formula>
    </cfRule>
  </conditionalFormatting>
  <conditionalFormatting sqref="A22:P31">
    <cfRule type="expression" priority="5" aboveAverage="0" equalAverage="0" bottom="0" percent="0" rank="0" text="" dxfId="5">
      <formula>$L22=1</formula>
    </cfRule>
  </conditionalFormatting>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N22"/>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9"/>
    <col collapsed="false" customWidth="true" hidden="false" outlineLevel="0" max="2" min="2" style="0" width="52"/>
    <col collapsed="false" customWidth="true" hidden="false" outlineLevel="0" max="3" min="3" style="0" width="7"/>
    <col collapsed="false" customWidth="true" hidden="false" outlineLevel="0" max="4" min="4" style="0" width="16"/>
    <col collapsed="false" customWidth="true" hidden="false" outlineLevel="0" max="5" min="5" style="0" width="14"/>
    <col collapsed="false" customWidth="true" hidden="false" outlineLevel="0" max="6" min="6" style="0" width="9"/>
    <col collapsed="false" customWidth="true" hidden="false" outlineLevel="0" max="7" min="7" style="0" width="10"/>
    <col collapsed="false" customWidth="true" hidden="false" outlineLevel="0" max="8" min="8" style="0" width="8"/>
    <col collapsed="false" customWidth="true" hidden="false" outlineLevel="0" max="11" min="9" style="0" width="9"/>
    <col collapsed="false" customWidth="true" hidden="false" outlineLevel="0" max="12" min="12" style="0" width="10"/>
    <col collapsed="false" customWidth="true" hidden="false" outlineLevel="0" max="13" min="13" style="0" width="11"/>
    <col collapsed="false" customWidth="true" hidden="false" outlineLevel="0" max="14" min="14" style="0" width="12"/>
  </cols>
  <sheetData>
    <row r="1" customFormat="false" ht="17.35" hidden="false" customHeight="false" outlineLevel="0" collapsed="false">
      <c r="A1" s="4" t="s">
        <v>146</v>
      </c>
    </row>
    <row r="2" customFormat="false" ht="15" hidden="false" customHeight="false" outlineLevel="0" collapsed="false">
      <c r="A2" s="5" t="s">
        <v>147</v>
      </c>
    </row>
    <row r="4" customFormat="false" ht="39.55" hidden="false" customHeight="false" outlineLevel="0" collapsed="false">
      <c r="A4" s="7" t="s">
        <v>98</v>
      </c>
      <c r="B4" s="7" t="s">
        <v>40</v>
      </c>
      <c r="C4" s="7" t="s">
        <v>100</v>
      </c>
      <c r="D4" s="7" t="s">
        <v>148</v>
      </c>
      <c r="E4" s="7" t="s">
        <v>99</v>
      </c>
      <c r="F4" s="7" t="s">
        <v>149</v>
      </c>
      <c r="G4" s="7" t="s">
        <v>150</v>
      </c>
      <c r="H4" s="7" t="s">
        <v>151</v>
      </c>
      <c r="I4" s="7" t="s">
        <v>152</v>
      </c>
      <c r="J4" s="7" t="s">
        <v>153</v>
      </c>
      <c r="K4" s="7" t="s">
        <v>154</v>
      </c>
      <c r="L4" s="7" t="s">
        <v>155</v>
      </c>
      <c r="M4" s="7" t="s">
        <v>156</v>
      </c>
      <c r="N4" s="7" t="s">
        <v>157</v>
      </c>
    </row>
    <row r="5" customFormat="false" ht="15" hidden="false" customHeight="false" outlineLevel="0" collapsed="false">
      <c r="A5" s="19" t="s">
        <v>106</v>
      </c>
      <c r="B5" s="19" t="s">
        <v>158</v>
      </c>
      <c r="C5" s="19" t="n">
        <v>1</v>
      </c>
      <c r="D5" s="19" t="s">
        <v>159</v>
      </c>
      <c r="E5" s="19" t="s">
        <v>70</v>
      </c>
      <c r="F5" s="25" t="n">
        <v>30</v>
      </c>
      <c r="G5" s="19" t="n">
        <f aca="false">COUNTIF('Forecast 2027'!$F$2:$F$75,A5)+COUNTIF('Forecast 2027'!$G$2:$G$75,A5)</f>
        <v>30</v>
      </c>
      <c r="H5" s="23" t="n">
        <f aca="false">G5/F5</f>
        <v>1</v>
      </c>
      <c r="I5" s="19" t="n">
        <f aca="false">SUMPRODUCT(('Forecast 2027'!$F$2:$F$75=A5)*('Forecast 2027'!$E$2:$E$75&gt;=1)*('Forecast 2027'!$E$2:$E$75&lt;=10))+SUMPRODUCT(('Forecast 2027'!$G$2:$G$75=A5)*('Forecast 2027'!$E$2:$E$75&gt;=1)*('Forecast 2027'!$E$2:$E$75&lt;=10))</f>
        <v>5</v>
      </c>
      <c r="J5" s="19" t="n">
        <f aca="false">SUMPRODUCT(('Forecast 2027'!$F$2:$F$75=A5)*('Forecast 2027'!$E$2:$E$75&gt;=11)*('Forecast 2027'!$E$2:$E$75&lt;=25))+SUMPRODUCT(('Forecast 2027'!$G$2:$G$75=A5)*('Forecast 2027'!$E$2:$E$75&gt;=11)*('Forecast 2027'!$E$2:$E$75&lt;=25))</f>
        <v>6</v>
      </c>
      <c r="K5" s="19" t="n">
        <f aca="false">SUMPRODUCT(('Forecast 2027'!$F$2:$F$75=A5)*('Forecast 2027'!$E$2:$E$75&gt;=26)*('Forecast 2027'!$E$2:$E$75&lt;=45))+SUMPRODUCT(('Forecast 2027'!$G$2:$G$75=A5)*('Forecast 2027'!$E$2:$E$75&gt;=26)*('Forecast 2027'!$E$2:$E$75&lt;=45))</f>
        <v>12</v>
      </c>
      <c r="L5" s="20" t="n">
        <f aca="false">IF(ISERROR((SUMIF('Forecast 2027'!$F$2:$F$75,A5,'Forecast 2027'!$D$2:$D$75)+SUMIF('Forecast 2027'!$G$2:$G$75,A5,'Forecast 2027'!$D$2:$D$75))/G5),0,(SUMIF('Forecast 2027'!$F$2:$F$75,A5,'Forecast 2027'!$D$2:$D$75)+SUMIF('Forecast 2027'!$G$2:$G$75,A5,'Forecast 2027'!$D$2:$D$75))/G5)</f>
        <v>40.3055186560621</v>
      </c>
      <c r="M5" s="19" t="n">
        <f aca="false">3*I5+2*J5+K5</f>
        <v>39</v>
      </c>
      <c r="N5" s="26" t="n">
        <f aca="false">RANK(M5,$M$5:$M$9)</f>
        <v>1</v>
      </c>
    </row>
    <row r="6" customFormat="false" ht="15" hidden="false" customHeight="false" outlineLevel="0" collapsed="false">
      <c r="A6" s="19" t="s">
        <v>107</v>
      </c>
      <c r="B6" s="19" t="s">
        <v>160</v>
      </c>
      <c r="C6" s="19" t="n">
        <v>2</v>
      </c>
      <c r="D6" s="19" t="s">
        <v>161</v>
      </c>
      <c r="E6" s="19" t="s">
        <v>68</v>
      </c>
      <c r="F6" s="25" t="n">
        <v>30</v>
      </c>
      <c r="G6" s="19" t="n">
        <f aca="false">COUNTIF('Forecast 2027'!$F$2:$F$75,A6)+COUNTIF('Forecast 2027'!$G$2:$G$75,A6)</f>
        <v>30</v>
      </c>
      <c r="H6" s="23" t="n">
        <f aca="false">G6/F6</f>
        <v>1</v>
      </c>
      <c r="I6" s="19" t="n">
        <f aca="false">SUMPRODUCT(('Forecast 2027'!$F$2:$F$75=A6)*('Forecast 2027'!$E$2:$E$75&gt;=1)*('Forecast 2027'!$E$2:$E$75&lt;=10))+SUMPRODUCT(('Forecast 2027'!$G$2:$G$75=A6)*('Forecast 2027'!$E$2:$E$75&gt;=1)*('Forecast 2027'!$E$2:$E$75&lt;=10))</f>
        <v>3</v>
      </c>
      <c r="J6" s="19" t="n">
        <f aca="false">SUMPRODUCT(('Forecast 2027'!$F$2:$F$75=A6)*('Forecast 2027'!$E$2:$E$75&gt;=11)*('Forecast 2027'!$E$2:$E$75&lt;=25))+SUMPRODUCT(('Forecast 2027'!$G$2:$G$75=A6)*('Forecast 2027'!$E$2:$E$75&gt;=11)*('Forecast 2027'!$E$2:$E$75&lt;=25))</f>
        <v>7</v>
      </c>
      <c r="K6" s="19" t="n">
        <f aca="false">SUMPRODUCT(('Forecast 2027'!$F$2:$F$75=A6)*('Forecast 2027'!$E$2:$E$75&gt;=26)*('Forecast 2027'!$E$2:$E$75&lt;=45))+SUMPRODUCT(('Forecast 2027'!$G$2:$G$75=A6)*('Forecast 2027'!$E$2:$E$75&gt;=26)*('Forecast 2027'!$E$2:$E$75&lt;=45))</f>
        <v>7</v>
      </c>
      <c r="L6" s="20" t="n">
        <f aca="false">IF(ISERROR((SUMIF('Forecast 2027'!$F$2:$F$75,A6,'Forecast 2027'!$D$2:$D$75)+SUMIF('Forecast 2027'!$G$2:$G$75,A6,'Forecast 2027'!$D$2:$D$75))/G6),0,(SUMIF('Forecast 2027'!$F$2:$F$75,A6,'Forecast 2027'!$D$2:$D$75)+SUMIF('Forecast 2027'!$G$2:$G$75,A6,'Forecast 2027'!$D$2:$D$75))/G6)</f>
        <v>33.9335153733037</v>
      </c>
      <c r="M6" s="19" t="n">
        <f aca="false">3*I6+2*J6+K6</f>
        <v>30</v>
      </c>
      <c r="N6" s="26" t="n">
        <f aca="false">RANK(M6,$M$5:$M$9)</f>
        <v>4</v>
      </c>
    </row>
    <row r="7" customFormat="false" ht="15" hidden="false" customHeight="false" outlineLevel="0" collapsed="false">
      <c r="A7" s="19" t="s">
        <v>108</v>
      </c>
      <c r="B7" s="19" t="s">
        <v>162</v>
      </c>
      <c r="C7" s="19" t="n">
        <v>3</v>
      </c>
      <c r="D7" s="19" t="s">
        <v>163</v>
      </c>
      <c r="E7" s="19" t="s">
        <v>109</v>
      </c>
      <c r="F7" s="25" t="n">
        <v>30</v>
      </c>
      <c r="G7" s="19" t="n">
        <f aca="false">COUNTIF('Forecast 2027'!$F$2:$F$75,A7)+COUNTIF('Forecast 2027'!$G$2:$G$75,A7)</f>
        <v>30</v>
      </c>
      <c r="H7" s="23" t="n">
        <f aca="false">G7/F7</f>
        <v>1</v>
      </c>
      <c r="I7" s="19" t="n">
        <f aca="false">SUMPRODUCT(('Forecast 2027'!$F$2:$F$75=A7)*('Forecast 2027'!$E$2:$E$75&gt;=1)*('Forecast 2027'!$E$2:$E$75&lt;=10))+SUMPRODUCT(('Forecast 2027'!$G$2:$G$75=A7)*('Forecast 2027'!$E$2:$E$75&gt;=1)*('Forecast 2027'!$E$2:$E$75&lt;=10))</f>
        <v>4</v>
      </c>
      <c r="J7" s="19" t="n">
        <f aca="false">SUMPRODUCT(('Forecast 2027'!$F$2:$F$75=A7)*('Forecast 2027'!$E$2:$E$75&gt;=11)*('Forecast 2027'!$E$2:$E$75&lt;=25))+SUMPRODUCT(('Forecast 2027'!$G$2:$G$75=A7)*('Forecast 2027'!$E$2:$E$75&gt;=11)*('Forecast 2027'!$E$2:$E$75&lt;=25))</f>
        <v>7</v>
      </c>
      <c r="K7" s="19" t="n">
        <f aca="false">SUMPRODUCT(('Forecast 2027'!$F$2:$F$75=A7)*('Forecast 2027'!$E$2:$E$75&gt;=26)*('Forecast 2027'!$E$2:$E$75&lt;=45))+SUMPRODUCT(('Forecast 2027'!$G$2:$G$75=A7)*('Forecast 2027'!$E$2:$E$75&gt;=26)*('Forecast 2027'!$E$2:$E$75&lt;=45))</f>
        <v>6</v>
      </c>
      <c r="L7" s="20" t="n">
        <f aca="false">IF(ISERROR((SUMIF('Forecast 2027'!$F$2:$F$75,A7,'Forecast 2027'!$D$2:$D$75)+SUMIF('Forecast 2027'!$G$2:$G$75,A7,'Forecast 2027'!$D$2:$D$75))/G7),0,(SUMIF('Forecast 2027'!$F$2:$F$75,A7,'Forecast 2027'!$D$2:$D$75)+SUMIF('Forecast 2027'!$G$2:$G$75,A7,'Forecast 2027'!$D$2:$D$75))/G7)</f>
        <v>36.5281041422346</v>
      </c>
      <c r="M7" s="19" t="n">
        <f aca="false">3*I7+2*J7+K7</f>
        <v>32</v>
      </c>
      <c r="N7" s="26" t="n">
        <f aca="false">RANK(M7,$M$5:$M$9)</f>
        <v>2</v>
      </c>
    </row>
    <row r="8" customFormat="false" ht="15" hidden="false" customHeight="false" outlineLevel="0" collapsed="false">
      <c r="A8" s="19" t="s">
        <v>110</v>
      </c>
      <c r="B8" s="19" t="s">
        <v>164</v>
      </c>
      <c r="C8" s="19" t="n">
        <v>4</v>
      </c>
      <c r="D8" s="19" t="s">
        <v>165</v>
      </c>
      <c r="E8" s="19" t="s">
        <v>67</v>
      </c>
      <c r="F8" s="25" t="n">
        <v>29</v>
      </c>
      <c r="G8" s="19" t="n">
        <f aca="false">COUNTIF('Forecast 2027'!$F$2:$F$75,A8)+COUNTIF('Forecast 2027'!$G$2:$G$75,A8)</f>
        <v>28</v>
      </c>
      <c r="H8" s="23" t="n">
        <f aca="false">G8/F8</f>
        <v>0.96551724137931</v>
      </c>
      <c r="I8" s="19" t="n">
        <f aca="false">SUMPRODUCT(('Forecast 2027'!$F$2:$F$75=A8)*('Forecast 2027'!$E$2:$E$75&gt;=1)*('Forecast 2027'!$E$2:$E$75&lt;=10))+SUMPRODUCT(('Forecast 2027'!$G$2:$G$75=A8)*('Forecast 2027'!$E$2:$E$75&gt;=1)*('Forecast 2027'!$E$2:$E$75&lt;=10))</f>
        <v>5</v>
      </c>
      <c r="J8" s="19" t="n">
        <f aca="false">SUMPRODUCT(('Forecast 2027'!$F$2:$F$75=A8)*('Forecast 2027'!$E$2:$E$75&gt;=11)*('Forecast 2027'!$E$2:$E$75&lt;=25))+SUMPRODUCT(('Forecast 2027'!$G$2:$G$75=A8)*('Forecast 2027'!$E$2:$E$75&gt;=11)*('Forecast 2027'!$E$2:$E$75&lt;=25))</f>
        <v>5</v>
      </c>
      <c r="K8" s="19" t="n">
        <f aca="false">SUMPRODUCT(('Forecast 2027'!$F$2:$F$75=A8)*('Forecast 2027'!$E$2:$E$75&gt;=26)*('Forecast 2027'!$E$2:$E$75&lt;=45))+SUMPRODUCT(('Forecast 2027'!$G$2:$G$75=A8)*('Forecast 2027'!$E$2:$E$75&gt;=26)*('Forecast 2027'!$E$2:$E$75&lt;=45))</f>
        <v>7</v>
      </c>
      <c r="L8" s="20" t="n">
        <f aca="false">IF(ISERROR((SUMIF('Forecast 2027'!$F$2:$F$75,A8,'Forecast 2027'!$D$2:$D$75)+SUMIF('Forecast 2027'!$G$2:$G$75,A8,'Forecast 2027'!$D$2:$D$75))/G8),0,(SUMIF('Forecast 2027'!$F$2:$F$75,A8,'Forecast 2027'!$D$2:$D$75)+SUMIF('Forecast 2027'!$G$2:$G$75,A8,'Forecast 2027'!$D$2:$D$75))/G8)</f>
        <v>40.4822942973176</v>
      </c>
      <c r="M8" s="19" t="n">
        <f aca="false">3*I8+2*J8+K8</f>
        <v>32</v>
      </c>
      <c r="N8" s="26" t="n">
        <f aca="false">RANK(M8,$M$5:$M$9)</f>
        <v>2</v>
      </c>
    </row>
    <row r="9" customFormat="false" ht="15" hidden="false" customHeight="false" outlineLevel="0" collapsed="false">
      <c r="A9" s="19" t="s">
        <v>111</v>
      </c>
      <c r="B9" s="19" t="s">
        <v>166</v>
      </c>
      <c r="C9" s="19" t="n">
        <v>5</v>
      </c>
      <c r="D9" s="19" t="s">
        <v>167</v>
      </c>
      <c r="E9" s="19" t="s">
        <v>74</v>
      </c>
      <c r="F9" s="25" t="n">
        <v>30</v>
      </c>
      <c r="G9" s="19" t="n">
        <f aca="false">COUNTIF('Forecast 2027'!$F$2:$F$75,A9)+COUNTIF('Forecast 2027'!$G$2:$G$75,A9)</f>
        <v>30</v>
      </c>
      <c r="H9" s="23" t="n">
        <f aca="false">G9/F9</f>
        <v>1</v>
      </c>
      <c r="I9" s="19" t="n">
        <f aca="false">SUMPRODUCT(('Forecast 2027'!$F$2:$F$75=A9)*('Forecast 2027'!$E$2:$E$75&gt;=1)*('Forecast 2027'!$E$2:$E$75&lt;=10))+SUMPRODUCT(('Forecast 2027'!$G$2:$G$75=A9)*('Forecast 2027'!$E$2:$E$75&gt;=1)*('Forecast 2027'!$E$2:$E$75&lt;=10))</f>
        <v>3</v>
      </c>
      <c r="J9" s="19" t="n">
        <f aca="false">SUMPRODUCT(('Forecast 2027'!$F$2:$F$75=A9)*('Forecast 2027'!$E$2:$E$75&gt;=11)*('Forecast 2027'!$E$2:$E$75&lt;=25))+SUMPRODUCT(('Forecast 2027'!$G$2:$G$75=A9)*('Forecast 2027'!$E$2:$E$75&gt;=11)*('Forecast 2027'!$E$2:$E$75&lt;=25))</f>
        <v>5</v>
      </c>
      <c r="K9" s="19" t="n">
        <f aca="false">SUMPRODUCT(('Forecast 2027'!$F$2:$F$75=A9)*('Forecast 2027'!$E$2:$E$75&gt;=26)*('Forecast 2027'!$E$2:$E$75&lt;=45))+SUMPRODUCT(('Forecast 2027'!$G$2:$G$75=A9)*('Forecast 2027'!$E$2:$E$75&gt;=26)*('Forecast 2027'!$E$2:$E$75&lt;=45))</f>
        <v>8</v>
      </c>
      <c r="L9" s="20" t="n">
        <f aca="false">IF(ISERROR((SUMIF('Forecast 2027'!$F$2:$F$75,A9,'Forecast 2027'!$D$2:$D$75)+SUMIF('Forecast 2027'!$G$2:$G$75,A9,'Forecast 2027'!$D$2:$D$75))/G9),0,(SUMIF('Forecast 2027'!$F$2:$F$75,A9,'Forecast 2027'!$D$2:$D$75)+SUMIF('Forecast 2027'!$G$2:$G$75,A9,'Forecast 2027'!$D$2:$D$75))/G9)</f>
        <v>31.7126195219731</v>
      </c>
      <c r="M9" s="19" t="n">
        <f aca="false">3*I9+2*J9+K9</f>
        <v>27</v>
      </c>
      <c r="N9" s="26" t="n">
        <f aca="false">RANK(M9,$M$5:$M$9)</f>
        <v>5</v>
      </c>
    </row>
    <row r="10" customFormat="false" ht="15" hidden="false" customHeight="false" outlineLevel="0" collapsed="false">
      <c r="A10" s="6" t="s">
        <v>168</v>
      </c>
      <c r="B10" s="6"/>
      <c r="C10" s="6"/>
      <c r="D10" s="6"/>
      <c r="E10" s="6"/>
      <c r="F10" s="6" t="n">
        <f aca="false">SUM(F5:F9)</f>
        <v>149</v>
      </c>
      <c r="G10" s="6" t="n">
        <f aca="false">SUM(G5:G9)</f>
        <v>148</v>
      </c>
      <c r="H10" s="6"/>
      <c r="I10" s="6"/>
      <c r="J10" s="6"/>
      <c r="K10" s="6"/>
      <c r="L10" s="6"/>
      <c r="M10" s="6"/>
      <c r="N10" s="6"/>
    </row>
    <row r="11" customFormat="false" ht="15" hidden="false" customHeight="false" outlineLevel="0" collapsed="false">
      <c r="A11" s="19" t="s">
        <v>169</v>
      </c>
      <c r="B11" s="19" t="s">
        <v>170</v>
      </c>
      <c r="C11" s="19" t="n">
        <v>6</v>
      </c>
      <c r="D11" s="19" t="s">
        <v>171</v>
      </c>
      <c r="E11" s="19" t="s">
        <v>172</v>
      </c>
      <c r="G11" s="19" t="s">
        <v>173</v>
      </c>
    </row>
    <row r="14" customFormat="false" ht="15" hidden="false" customHeight="false" outlineLevel="0" collapsed="false">
      <c r="A14" s="6" t="s">
        <v>174</v>
      </c>
    </row>
    <row r="15" customFormat="false" ht="26.85" hidden="false" customHeight="false" outlineLevel="0" collapsed="false">
      <c r="A15" s="7" t="s">
        <v>98</v>
      </c>
      <c r="B15" s="7" t="s">
        <v>99</v>
      </c>
      <c r="C15" s="7" t="s">
        <v>100</v>
      </c>
      <c r="D15" s="7" t="s">
        <v>148</v>
      </c>
      <c r="E15" s="7"/>
      <c r="F15" s="7"/>
      <c r="G15" s="7" t="s">
        <v>175</v>
      </c>
      <c r="H15" s="7"/>
      <c r="I15" s="7" t="s">
        <v>152</v>
      </c>
      <c r="J15" s="7" t="s">
        <v>153</v>
      </c>
      <c r="K15" s="7" t="s">
        <v>154</v>
      </c>
      <c r="L15" s="7" t="s">
        <v>155</v>
      </c>
      <c r="M15" s="7" t="s">
        <v>156</v>
      </c>
      <c r="N15" s="7" t="s">
        <v>176</v>
      </c>
    </row>
    <row r="16" customFormat="false" ht="15" hidden="false" customHeight="false" outlineLevel="0" collapsed="false">
      <c r="A16" s="19" t="s">
        <v>106</v>
      </c>
      <c r="B16" s="19" t="s">
        <v>70</v>
      </c>
      <c r="C16" s="19" t="n">
        <v>1</v>
      </c>
      <c r="D16" s="19" t="s">
        <v>177</v>
      </c>
      <c r="G16" s="19" t="n">
        <f aca="false">COUNTIF('Results 2026'!$A$2:$A$149,A16)</f>
        <v>31</v>
      </c>
      <c r="I16" s="19" t="n">
        <f aca="false">SUMPRODUCT(('Results 2026'!$A$2:$A$149=A16)*('Results 2026'!$H$2:$H$149&gt;=1)*('Results 2026'!$H$2:$H$149&lt;=10))</f>
        <v>5</v>
      </c>
      <c r="J16" s="19" t="n">
        <f aca="false">SUMPRODUCT(('Results 2026'!$A$2:$A$149=A16)*('Results 2026'!$H$2:$H$149&gt;=11)*('Results 2026'!$H$2:$H$149&lt;=25))</f>
        <v>5</v>
      </c>
      <c r="K16" s="19" t="n">
        <f aca="false">SUMPRODUCT(('Results 2026'!$A$2:$A$149=A16)*('Results 2026'!$H$2:$H$149&gt;=26)*('Results 2026'!$H$2:$H$149&lt;=45))</f>
        <v>12</v>
      </c>
      <c r="L16" s="20" t="n">
        <f aca="false">IF(ISERROR(SUMIF('Results 2026'!$A$2:$A$149,A16,'Results 2026'!$I$2:$I$149)/G16),0,SUMIF('Results 2026'!$A$2:$A$149,A16,'Results 2026'!$I$2:$I$149)/G16)</f>
        <v>37.9005282546657</v>
      </c>
      <c r="M16" s="19" t="n">
        <f aca="false">3*I16+2*J16+K16</f>
        <v>37</v>
      </c>
      <c r="N16" s="19" t="n">
        <f aca="false">RANK(M16,$M$16:$M$20)</f>
        <v>1</v>
      </c>
    </row>
    <row r="17" customFormat="false" ht="15" hidden="false" customHeight="false" outlineLevel="0" collapsed="false">
      <c r="A17" s="19" t="s">
        <v>108</v>
      </c>
      <c r="B17" s="19" t="s">
        <v>109</v>
      </c>
      <c r="C17" s="19" t="n">
        <v>2</v>
      </c>
      <c r="D17" s="19" t="s">
        <v>178</v>
      </c>
      <c r="G17" s="19" t="n">
        <f aca="false">COUNTIF('Results 2026'!$A$2:$A$149,A17)</f>
        <v>30</v>
      </c>
      <c r="I17" s="19" t="n">
        <f aca="false">SUMPRODUCT(('Results 2026'!$A$2:$A$149=A17)*('Results 2026'!$H$2:$H$149&gt;=1)*('Results 2026'!$H$2:$H$149&lt;=10))</f>
        <v>4</v>
      </c>
      <c r="J17" s="19" t="n">
        <f aca="false">SUMPRODUCT(('Results 2026'!$A$2:$A$149=A17)*('Results 2026'!$H$2:$H$149&gt;=11)*('Results 2026'!$H$2:$H$149&lt;=25))</f>
        <v>7</v>
      </c>
      <c r="K17" s="19" t="n">
        <f aca="false">SUMPRODUCT(('Results 2026'!$A$2:$A$149=A17)*('Results 2026'!$H$2:$H$149&gt;=26)*('Results 2026'!$H$2:$H$149&lt;=45))</f>
        <v>6</v>
      </c>
      <c r="L17" s="20" t="n">
        <f aca="false">IF(ISERROR(SUMIF('Results 2026'!$A$2:$A$149,A17,'Results 2026'!$I$2:$I$149)/G17),0,SUMIF('Results 2026'!$A$2:$A$149,A17,'Results 2026'!$I$2:$I$149)/G17)</f>
        <v>36.8261394402699</v>
      </c>
      <c r="M17" s="19" t="n">
        <f aca="false">3*I17+2*J17+K17</f>
        <v>32</v>
      </c>
      <c r="N17" s="19" t="n">
        <f aca="false">RANK(M17,$M$16:$M$20)</f>
        <v>2</v>
      </c>
    </row>
    <row r="18" customFormat="false" ht="15" hidden="false" customHeight="false" outlineLevel="0" collapsed="false">
      <c r="A18" s="19" t="s">
        <v>179</v>
      </c>
      <c r="B18" s="19" t="s">
        <v>180</v>
      </c>
      <c r="C18" s="19" t="n">
        <v>3</v>
      </c>
      <c r="D18" s="19" t="s">
        <v>181</v>
      </c>
      <c r="G18" s="19" t="n">
        <f aca="false">COUNTIF('Results 2026'!$A$2:$A$149,A18)</f>
        <v>29</v>
      </c>
      <c r="I18" s="19" t="n">
        <f aca="false">SUMPRODUCT(('Results 2026'!$A$2:$A$149=A18)*('Results 2026'!$H$2:$H$149&gt;=1)*('Results 2026'!$H$2:$H$149&lt;=10))</f>
        <v>4</v>
      </c>
      <c r="J18" s="19" t="n">
        <f aca="false">SUMPRODUCT(('Results 2026'!$A$2:$A$149=A18)*('Results 2026'!$H$2:$H$149&gt;=11)*('Results 2026'!$H$2:$H$149&lt;=25))</f>
        <v>6</v>
      </c>
      <c r="K18" s="19" t="n">
        <f aca="false">SUMPRODUCT(('Results 2026'!$A$2:$A$149=A18)*('Results 2026'!$H$2:$H$149&gt;=26)*('Results 2026'!$H$2:$H$149&lt;=45))</f>
        <v>7</v>
      </c>
      <c r="L18" s="20" t="n">
        <f aca="false">IF(ISERROR(SUMIF('Results 2026'!$A$2:$A$149,A18,'Results 2026'!$I$2:$I$149)/G18),0,SUMIF('Results 2026'!$A$2:$A$149,A18,'Results 2026'!$I$2:$I$149)/G18)</f>
        <v>35.3712545115528</v>
      </c>
      <c r="M18" s="19" t="n">
        <f aca="false">3*I18+2*J18+K18</f>
        <v>31</v>
      </c>
      <c r="N18" s="19" t="n">
        <f aca="false">RANK(M18,$M$16:$M$20)</f>
        <v>3</v>
      </c>
    </row>
    <row r="19" customFormat="false" ht="15" hidden="false" customHeight="false" outlineLevel="0" collapsed="false">
      <c r="A19" s="19" t="s">
        <v>110</v>
      </c>
      <c r="B19" s="19" t="s">
        <v>67</v>
      </c>
      <c r="C19" s="19" t="n">
        <v>4</v>
      </c>
      <c r="D19" s="19" t="s">
        <v>182</v>
      </c>
      <c r="G19" s="19" t="n">
        <f aca="false">COUNTIF('Results 2026'!$A$2:$A$149,A19)</f>
        <v>28</v>
      </c>
      <c r="I19" s="19" t="n">
        <f aca="false">SUMPRODUCT(('Results 2026'!$A$2:$A$149=A19)*('Results 2026'!$H$2:$H$149&gt;=1)*('Results 2026'!$H$2:$H$149&lt;=10))</f>
        <v>4</v>
      </c>
      <c r="J19" s="19" t="n">
        <f aca="false">SUMPRODUCT(('Results 2026'!$A$2:$A$149=A19)*('Results 2026'!$H$2:$H$149&gt;=11)*('Results 2026'!$H$2:$H$149&lt;=25))</f>
        <v>6</v>
      </c>
      <c r="K19" s="19" t="n">
        <f aca="false">SUMPRODUCT(('Results 2026'!$A$2:$A$149=A19)*('Results 2026'!$H$2:$H$149&gt;=26)*('Results 2026'!$H$2:$H$149&lt;=45))</f>
        <v>7</v>
      </c>
      <c r="L19" s="20" t="n">
        <f aca="false">IF(ISERROR(SUMIF('Results 2026'!$A$2:$A$149,A19,'Results 2026'!$I$2:$I$149)/G19),0,SUMIF('Results 2026'!$A$2:$A$149,A19,'Results 2026'!$I$2:$I$149)/G19)</f>
        <v>39.2864217175164</v>
      </c>
      <c r="M19" s="19" t="n">
        <f aca="false">3*I19+2*J19+K19</f>
        <v>31</v>
      </c>
      <c r="N19" s="19" t="n">
        <f aca="false">RANK(M19,$M$16:$M$20)</f>
        <v>3</v>
      </c>
    </row>
    <row r="20" customFormat="false" ht="15" hidden="false" customHeight="false" outlineLevel="0" collapsed="false">
      <c r="A20" s="19" t="s">
        <v>107</v>
      </c>
      <c r="B20" s="19" t="s">
        <v>68</v>
      </c>
      <c r="C20" s="19" t="n">
        <v>5</v>
      </c>
      <c r="D20" s="19" t="s">
        <v>183</v>
      </c>
      <c r="G20" s="19" t="n">
        <f aca="false">COUNTIF('Results 2026'!$A$2:$A$149,A20)</f>
        <v>30</v>
      </c>
      <c r="I20" s="19" t="n">
        <f aca="false">SUMPRODUCT(('Results 2026'!$A$2:$A$149=A20)*('Results 2026'!$H$2:$H$149&gt;=1)*('Results 2026'!$H$2:$H$149&lt;=10))</f>
        <v>3</v>
      </c>
      <c r="J20" s="19" t="n">
        <f aca="false">SUMPRODUCT(('Results 2026'!$A$2:$A$149=A20)*('Results 2026'!$H$2:$H$149&gt;=11)*('Results 2026'!$H$2:$H$149&lt;=25))</f>
        <v>6</v>
      </c>
      <c r="K20" s="19" t="n">
        <f aca="false">SUMPRODUCT(('Results 2026'!$A$2:$A$149=A20)*('Results 2026'!$H$2:$H$149&gt;=26)*('Results 2026'!$H$2:$H$149&lt;=45))</f>
        <v>8</v>
      </c>
      <c r="L20" s="20" t="n">
        <f aca="false">IF(ISERROR(SUMIF('Results 2026'!$A$2:$A$149,A20,'Results 2026'!$I$2:$I$149)/G20),0,SUMIF('Results 2026'!$A$2:$A$149,A20,'Results 2026'!$I$2:$I$149)/G20)</f>
        <v>33.4136741034624</v>
      </c>
      <c r="M20" s="19" t="n">
        <f aca="false">3*I20+2*J20+K20</f>
        <v>29</v>
      </c>
      <c r="N20" s="19" t="n">
        <f aca="false">RANK(M20,$M$16:$M$20)</f>
        <v>5</v>
      </c>
    </row>
    <row r="22" customFormat="false" ht="15" hidden="false" customHeight="false" outlineLevel="0" collapsed="false">
      <c r="A22" s="5" t="s">
        <v>184</v>
      </c>
    </row>
  </sheetData>
  <conditionalFormatting sqref="N5:N9">
    <cfRule type="cellIs" priority="2" operator="equal" aboveAverage="0" equalAverage="0" bottom="0" percent="0" rank="0" text="" dxfId="3">
      <formula>1</formula>
    </cfRule>
  </conditionalFormatting>
  <conditionalFormatting sqref="H5:H9">
    <cfRule type="cellIs" priority="3" operator="greaterThan" aboveAverage="0" equalAverage="0" bottom="0" percent="0" rank="0" text="" dxfId="3">
      <formula>1</formula>
    </cfRule>
  </conditionalFormatting>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T77"/>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5" ySplit="1" topLeftCell="F2" activePane="bottomRight" state="frozen"/>
      <selection pane="topLeft" activeCell="A1" activeCellId="0" sqref="A1"/>
      <selection pane="topRight" activeCell="F1" activeCellId="0" sqref="F1"/>
      <selection pane="bottomLeft" activeCell="A2" activeCellId="0" sqref="A2"/>
      <selection pane="bottomRight" activeCell="A1" activeCellId="0" sqref="A1"/>
    </sheetView>
  </sheetViews>
  <sheetFormatPr defaultColWidth="8.6796875" defaultRowHeight="15" zeroHeight="false" outlineLevelRow="0" outlineLevelCol="0"/>
  <cols>
    <col collapsed="false" customWidth="true" hidden="false" outlineLevel="0" max="1" min="1" style="0" width="8"/>
    <col collapsed="false" customWidth="true" hidden="false" outlineLevel="0" max="2" min="2" style="0" width="30"/>
    <col collapsed="false" customWidth="true" hidden="false" outlineLevel="0" max="3" min="3" style="0" width="14"/>
    <col collapsed="false" customWidth="true" hidden="false" outlineLevel="0" max="7" min="4" style="0" width="9"/>
    <col collapsed="false" customWidth="true" hidden="false" outlineLevel="0" max="10" min="8" style="0" width="8"/>
    <col collapsed="false" customWidth="true" hidden="false" outlineLevel="0" max="12" min="11" style="0" width="9"/>
    <col collapsed="false" customWidth="true" hidden="false" outlineLevel="0" max="13" min="13" style="0" width="22"/>
    <col collapsed="false" customWidth="true" hidden="false" outlineLevel="0" max="14" min="14" style="0" width="10"/>
    <col collapsed="false" customWidth="true" hidden="false" outlineLevel="0" max="15" min="15" style="0" width="11"/>
    <col collapsed="false" customWidth="true" hidden="false" outlineLevel="0" max="16" min="16" style="0" width="95"/>
    <col collapsed="false" customWidth="true" hidden="false" outlineLevel="0" max="17" min="17" style="0" width="16"/>
  </cols>
  <sheetData>
    <row r="1" customFormat="false" ht="52.2" hidden="false" customHeight="false" outlineLevel="0" collapsed="false">
      <c r="A1" s="7" t="s">
        <v>185</v>
      </c>
      <c r="B1" s="7" t="s">
        <v>90</v>
      </c>
      <c r="C1" s="7" t="s">
        <v>99</v>
      </c>
      <c r="D1" s="7" t="s">
        <v>186</v>
      </c>
      <c r="E1" s="7" t="s">
        <v>187</v>
      </c>
      <c r="F1" s="7" t="s">
        <v>188</v>
      </c>
      <c r="G1" s="7" t="s">
        <v>189</v>
      </c>
      <c r="H1" s="7" t="s">
        <v>190</v>
      </c>
      <c r="I1" s="7" t="s">
        <v>191</v>
      </c>
      <c r="J1" s="7" t="s">
        <v>117</v>
      </c>
      <c r="K1" s="7" t="s">
        <v>192</v>
      </c>
      <c r="L1" s="7" t="s">
        <v>193</v>
      </c>
      <c r="M1" s="7" t="s">
        <v>194</v>
      </c>
      <c r="N1" s="7" t="s">
        <v>195</v>
      </c>
      <c r="O1" s="7" t="s">
        <v>196</v>
      </c>
      <c r="P1" s="7" t="s">
        <v>197</v>
      </c>
      <c r="Q1" s="7" t="s">
        <v>198</v>
      </c>
      <c r="S1" s="6" t="s">
        <v>89</v>
      </c>
      <c r="T1" s="19" t="n">
        <f aca="false">Assumptions!B20</f>
        <v>3329</v>
      </c>
    </row>
    <row r="2" customFormat="false" ht="15" hidden="false" customHeight="false" outlineLevel="0" collapsed="false">
      <c r="A2" s="19" t="n">
        <v>1833</v>
      </c>
      <c r="B2" s="19" t="str">
        <f aca="false">INDEX(Strength!$B$2:$B$76,MATCH(A2,Strength!$A$2:$A$76,0))</f>
        <v>Team BEAN</v>
      </c>
      <c r="C2" s="19" t="str">
        <f aca="false">INDEX(Strength!$C$2:$C$76,MATCH(A2,Strength!$A$2:$A$76,0))</f>
        <v>Cumming</v>
      </c>
      <c r="D2" s="20" t="n">
        <f aca="false">INDEX(Strength!$U$2:$U$76,MATCH(A2,Strength!$A$2:$A$76,0))</f>
        <v>100</v>
      </c>
      <c r="E2" s="19" t="n">
        <f aca="false">INDEX(Strength!$V$2:$V$76,MATCH(A2,Strength!$A$2:$A$76,0))</f>
        <v>1</v>
      </c>
      <c r="F2" s="27" t="s">
        <v>107</v>
      </c>
      <c r="G2" s="27" t="s">
        <v>108</v>
      </c>
      <c r="H2" s="19" t="n">
        <f aca="false">IF(ISERROR(INDEX('Events 2027'!$C$5:$C$9,MATCH(F2,'Events 2027'!$A$5:$A$9,0))),"",INDEX('Events 2027'!$C$5:$C$9,MATCH(F2,'Events 2027'!$A$5:$A$9,0)))</f>
        <v>2</v>
      </c>
      <c r="I2" s="19" t="n">
        <f aca="false">IF(ISERROR(INDEX('Events 2027'!$C$5:$C$9,MATCH(G2,'Events 2027'!$A$5:$A$9,0))),"",INDEX('Events 2027'!$C$5:$C$9,MATCH(G2,'Events 2027'!$A$5:$A$9,0)))</f>
        <v>3</v>
      </c>
      <c r="J2" s="26" t="n">
        <f aca="false">IF(ISERROR(ABS(I2-H2)),"",ABS(I2-H2))</f>
        <v>1</v>
      </c>
      <c r="K2" s="20" t="n">
        <f aca="false">IF(ISERROR(INDEX('Drive Times'!$D$12:$I$51,MATCH(C2,'Drive Times'!$A$12:$A$51,0),MATCH(F2,'Drive Times'!$D$11:$I$11,0))),"",INDEX('Drive Times'!$D$12:$I$51,MATCH(C2,'Drive Times'!$A$12:$A$51,0),MATCH(F2,'Drive Times'!$D$11:$I$11,0)))</f>
        <v>0.577603222242459</v>
      </c>
      <c r="L2" s="20" t="n">
        <f aca="false">IF(ISERROR(INDEX('Drive Times'!$D$12:$I$51,MATCH(C2,'Drive Times'!$A$12:$A$51,0),MATCH(G2,'Drive Times'!$D$11:$I$11,0))),"",INDEX('Drive Times'!$D$12:$I$51,MATCH(C2,'Drive Times'!$A$12:$A$51,0),MATCH(G2,'Drive Times'!$D$11:$I$11,0)))</f>
        <v>0.582934575940957</v>
      </c>
      <c r="M2" s="19" t="s">
        <v>199</v>
      </c>
      <c r="N2" s="19" t="n">
        <v>2</v>
      </c>
      <c r="O2" s="19" t="s">
        <v>200</v>
      </c>
      <c r="P2" s="28" t="s">
        <v>201</v>
      </c>
      <c r="Q2" s="19" t="s">
        <v>202</v>
      </c>
    </row>
    <row r="3" customFormat="false" ht="15" hidden="false" customHeight="false" outlineLevel="0" collapsed="false">
      <c r="A3" s="19" t="n">
        <v>4188</v>
      </c>
      <c r="B3" s="19" t="str">
        <f aca="false">INDEX(Strength!$B$2:$B$76,MATCH(A3,Strength!$A$2:$A$76,0))</f>
        <v>Columbus Space Program</v>
      </c>
      <c r="C3" s="19" t="str">
        <f aca="false">INDEX(Strength!$C$2:$C$76,MATCH(A3,Strength!$A$2:$A$76,0))</f>
        <v>Columbus</v>
      </c>
      <c r="D3" s="20" t="n">
        <f aca="false">INDEX(Strength!$U$2:$U$76,MATCH(A3,Strength!$A$2:$A$76,0))</f>
        <v>93.1959706959707</v>
      </c>
      <c r="E3" s="19" t="n">
        <f aca="false">INDEX(Strength!$V$2:$V$76,MATCH(A3,Strength!$A$2:$A$76,0))</f>
        <v>2</v>
      </c>
      <c r="F3" s="27" t="s">
        <v>110</v>
      </c>
      <c r="G3" s="27" t="s">
        <v>111</v>
      </c>
      <c r="H3" s="19" t="n">
        <f aca="false">IF(ISERROR(INDEX('Events 2027'!$C$5:$C$9,MATCH(F3,'Events 2027'!$A$5:$A$9,0))),"",INDEX('Events 2027'!$C$5:$C$9,MATCH(F3,'Events 2027'!$A$5:$A$9,0)))</f>
        <v>4</v>
      </c>
      <c r="I3" s="19" t="n">
        <f aca="false">IF(ISERROR(INDEX('Events 2027'!$C$5:$C$9,MATCH(G3,'Events 2027'!$A$5:$A$9,0))),"",INDEX('Events 2027'!$C$5:$C$9,MATCH(G3,'Events 2027'!$A$5:$A$9,0)))</f>
        <v>5</v>
      </c>
      <c r="J3" s="26" t="n">
        <f aca="false">IF(ISERROR(ABS(I3-H3)),"",ABS(I3-H3))</f>
        <v>1</v>
      </c>
      <c r="K3" s="20" t="n">
        <f aca="false">IF(ISERROR(INDEX('Drive Times'!$D$12:$I$51,MATCH(C3,'Drive Times'!$A$12:$A$51,0),MATCH(F3,'Drive Times'!$D$11:$I$11,0))),"",INDEX('Drive Times'!$D$12:$I$51,MATCH(C3,'Drive Times'!$A$12:$A$51,0),MATCH(F3,'Drive Times'!$D$11:$I$11,0)))</f>
        <v>1.65865809320617</v>
      </c>
      <c r="L3" s="20" t="n">
        <f aca="false">IF(ISERROR(INDEX('Drive Times'!$D$12:$I$51,MATCH(C3,'Drive Times'!$A$12:$A$51,0),MATCH(G3,'Drive Times'!$D$11:$I$11,0))),"",INDEX('Drive Times'!$D$12:$I$51,MATCH(C3,'Drive Times'!$A$12:$A$51,0),MATCH(G3,'Drive Times'!$D$11:$I$11,0)))</f>
        <v>1.880961064493</v>
      </c>
      <c r="M3" s="19" t="s">
        <v>203</v>
      </c>
      <c r="N3" s="19" t="n">
        <v>1</v>
      </c>
      <c r="O3" s="19" t="s">
        <v>204</v>
      </c>
      <c r="P3" s="28" t="s">
        <v>205</v>
      </c>
      <c r="Q3" s="19" t="s">
        <v>206</v>
      </c>
    </row>
    <row r="4" customFormat="false" ht="15" hidden="false" customHeight="false" outlineLevel="0" collapsed="false">
      <c r="A4" s="19" t="n">
        <v>1002</v>
      </c>
      <c r="B4" s="19" t="str">
        <f aca="false">INDEX(Strength!$B$2:$B$76,MATCH(A4,Strength!$A$2:$A$76,0))</f>
        <v>CircuitRunners Robotics</v>
      </c>
      <c r="C4" s="19" t="str">
        <f aca="false">INDEX(Strength!$C$2:$C$76,MATCH(A4,Strength!$A$2:$A$76,0))</f>
        <v>Marietta</v>
      </c>
      <c r="D4" s="20" t="n">
        <f aca="false">INDEX(Strength!$U$2:$U$76,MATCH(A4,Strength!$A$2:$A$76,0))</f>
        <v>93.0148112756808</v>
      </c>
      <c r="E4" s="19" t="n">
        <f aca="false">INDEX(Strength!$V$2:$V$76,MATCH(A4,Strength!$A$2:$A$76,0))</f>
        <v>3</v>
      </c>
      <c r="F4" s="27" t="s">
        <v>106</v>
      </c>
      <c r="G4" s="27" t="s">
        <v>110</v>
      </c>
      <c r="H4" s="19" t="n">
        <f aca="false">IF(ISERROR(INDEX('Events 2027'!$C$5:$C$9,MATCH(F4,'Events 2027'!$A$5:$A$9,0))),"",INDEX('Events 2027'!$C$5:$C$9,MATCH(F4,'Events 2027'!$A$5:$A$9,0)))</f>
        <v>1</v>
      </c>
      <c r="I4" s="19" t="n">
        <f aca="false">IF(ISERROR(INDEX('Events 2027'!$C$5:$C$9,MATCH(G4,'Events 2027'!$A$5:$A$9,0))),"",INDEX('Events 2027'!$C$5:$C$9,MATCH(G4,'Events 2027'!$A$5:$A$9,0)))</f>
        <v>4</v>
      </c>
      <c r="J4" s="26" t="n">
        <f aca="false">IF(ISERROR(ABS(I4-H4)),"",ABS(I4-H4))</f>
        <v>3</v>
      </c>
      <c r="K4" s="20" t="n">
        <f aca="false">IF(ISERROR(INDEX('Drive Times'!$D$12:$I$51,MATCH(C4,'Drive Times'!$A$12:$A$51,0),MATCH(F4,'Drive Times'!$D$11:$I$11,0))),"",INDEX('Drive Times'!$D$12:$I$51,MATCH(C4,'Drive Times'!$A$12:$A$51,0),MATCH(F4,'Drive Times'!$D$11:$I$11,0)))</f>
        <v>1.35133796113295</v>
      </c>
      <c r="L4" s="20" t="n">
        <f aca="false">IF(ISERROR(INDEX('Drive Times'!$D$12:$I$51,MATCH(C4,'Drive Times'!$A$12:$A$51,0),MATCH(G4,'Drive Times'!$D$11:$I$11,0))),"",INDEX('Drive Times'!$D$12:$I$51,MATCH(C4,'Drive Times'!$A$12:$A$51,0),MATCH(G4,'Drive Times'!$D$11:$I$11,0)))</f>
        <v>3.26434201766974</v>
      </c>
      <c r="M4" s="19" t="s">
        <v>138</v>
      </c>
      <c r="N4" s="19" t="n">
        <v>2</v>
      </c>
      <c r="O4" s="19" t="s">
        <v>207</v>
      </c>
      <c r="P4" s="28" t="s">
        <v>208</v>
      </c>
      <c r="Q4" s="19" t="s">
        <v>209</v>
      </c>
    </row>
    <row r="5" customFormat="false" ht="15" hidden="false" customHeight="false" outlineLevel="0" collapsed="false">
      <c r="A5" s="19" t="n">
        <v>6919</v>
      </c>
      <c r="B5" s="19" t="str">
        <f aca="false">INDEX(Strength!$B$2:$B$76,MATCH(A5,Strength!$A$2:$A$76,0))</f>
        <v>The Commodores</v>
      </c>
      <c r="C5" s="19" t="str">
        <f aca="false">INDEX(Strength!$C$2:$C$76,MATCH(A5,Strength!$A$2:$A$76,0))</f>
        <v>Albany</v>
      </c>
      <c r="D5" s="20" t="n">
        <f aca="false">INDEX(Strength!$U$2:$U$76,MATCH(A5,Strength!$A$2:$A$76,0))</f>
        <v>86.6208791208791</v>
      </c>
      <c r="E5" s="19" t="n">
        <f aca="false">INDEX(Strength!$V$2:$V$76,MATCH(A5,Strength!$A$2:$A$76,0))</f>
        <v>4</v>
      </c>
      <c r="F5" s="27" t="s">
        <v>106</v>
      </c>
      <c r="G5" s="27" t="s">
        <v>110</v>
      </c>
      <c r="H5" s="19" t="n">
        <f aca="false">IF(ISERROR(INDEX('Events 2027'!$C$5:$C$9,MATCH(F5,'Events 2027'!$A$5:$A$9,0))),"",INDEX('Events 2027'!$C$5:$C$9,MATCH(F5,'Events 2027'!$A$5:$A$9,0)))</f>
        <v>1</v>
      </c>
      <c r="I5" s="19" t="n">
        <f aca="false">IF(ISERROR(INDEX('Events 2027'!$C$5:$C$9,MATCH(G5,'Events 2027'!$A$5:$A$9,0))),"",INDEX('Events 2027'!$C$5:$C$9,MATCH(G5,'Events 2027'!$A$5:$A$9,0)))</f>
        <v>4</v>
      </c>
      <c r="J5" s="26" t="n">
        <f aca="false">IF(ISERROR(ABS(I5-H5)),"",ABS(I5-H5))</f>
        <v>3</v>
      </c>
      <c r="K5" s="20" t="n">
        <f aca="false">IF(ISERROR(INDEX('Drive Times'!$D$12:$I$51,MATCH(C5,'Drive Times'!$A$12:$A$51,0),MATCH(F5,'Drive Times'!$D$11:$I$11,0))),"",INDEX('Drive Times'!$D$12:$I$51,MATCH(C5,'Drive Times'!$A$12:$A$51,0),MATCH(F5,'Drive Times'!$D$11:$I$11,0)))</f>
        <v>4.3609642399847</v>
      </c>
      <c r="L5" s="20" t="n">
        <f aca="false">IF(ISERROR(INDEX('Drive Times'!$D$12:$I$51,MATCH(C5,'Drive Times'!$A$12:$A$51,0),MATCH(G5,'Drive Times'!$D$11:$I$11,0))),"",INDEX('Drive Times'!$D$12:$I$51,MATCH(C5,'Drive Times'!$A$12:$A$51,0),MATCH(G5,'Drive Times'!$D$11:$I$11,0)))</f>
        <v>0</v>
      </c>
      <c r="M5" s="19" t="s">
        <v>138</v>
      </c>
      <c r="N5" s="19" t="n">
        <v>2</v>
      </c>
      <c r="O5" s="19" t="s">
        <v>200</v>
      </c>
      <c r="P5" s="28" t="s">
        <v>210</v>
      </c>
      <c r="Q5" s="19" t="s">
        <v>206</v>
      </c>
    </row>
    <row r="6" customFormat="false" ht="15" hidden="false" customHeight="false" outlineLevel="0" collapsed="false">
      <c r="A6" s="19" t="n">
        <v>1771</v>
      </c>
      <c r="B6" s="19" t="str">
        <f aca="false">INDEX(Strength!$B$2:$B$76,MATCH(A6,Strength!$A$2:$A$76,0))</f>
        <v>North Gwinnett Robotics</v>
      </c>
      <c r="C6" s="19" t="str">
        <f aca="false">INDEX(Strength!$C$2:$C$76,MATCH(A6,Strength!$A$2:$A$76,0))</f>
        <v>Suwanee</v>
      </c>
      <c r="D6" s="20" t="n">
        <f aca="false">INDEX(Strength!$U$2:$U$76,MATCH(A6,Strength!$A$2:$A$76,0))</f>
        <v>84.1941391941392</v>
      </c>
      <c r="E6" s="19" t="n">
        <f aca="false">INDEX(Strength!$V$2:$V$76,MATCH(A6,Strength!$A$2:$A$76,0))</f>
        <v>5</v>
      </c>
      <c r="F6" s="27" t="s">
        <v>108</v>
      </c>
      <c r="G6" s="27" t="s">
        <v>110</v>
      </c>
      <c r="H6" s="19" t="n">
        <f aca="false">IF(ISERROR(INDEX('Events 2027'!$C$5:$C$9,MATCH(F6,'Events 2027'!$A$5:$A$9,0))),"",INDEX('Events 2027'!$C$5:$C$9,MATCH(F6,'Events 2027'!$A$5:$A$9,0)))</f>
        <v>3</v>
      </c>
      <c r="I6" s="19" t="n">
        <f aca="false">IF(ISERROR(INDEX('Events 2027'!$C$5:$C$9,MATCH(G6,'Events 2027'!$A$5:$A$9,0))),"",INDEX('Events 2027'!$C$5:$C$9,MATCH(G6,'Events 2027'!$A$5:$A$9,0)))</f>
        <v>4</v>
      </c>
      <c r="J6" s="26" t="n">
        <f aca="false">IF(ISERROR(ABS(I6-H6)),"",ABS(I6-H6))</f>
        <v>1</v>
      </c>
      <c r="K6" s="20" t="n">
        <f aca="false">IF(ISERROR(INDEX('Drive Times'!$D$12:$I$51,MATCH(C6,'Drive Times'!$A$12:$A$51,0),MATCH(F6,'Drive Times'!$D$11:$I$11,0))),"",INDEX('Drive Times'!$D$12:$I$51,MATCH(C6,'Drive Times'!$A$12:$A$51,0),MATCH(F6,'Drive Times'!$D$11:$I$11,0)))</f>
        <v>0.375860640784249</v>
      </c>
      <c r="L6" s="20" t="n">
        <f aca="false">IF(ISERROR(INDEX('Drive Times'!$D$12:$I$51,MATCH(C6,'Drive Times'!$A$12:$A$51,0),MATCH(G6,'Drive Times'!$D$11:$I$11,0))),"",INDEX('Drive Times'!$D$12:$I$51,MATCH(C6,'Drive Times'!$A$12:$A$51,0),MATCH(G6,'Drive Times'!$D$11:$I$11,0)))</f>
        <v>3.36064753209562</v>
      </c>
      <c r="M6" s="19" t="s">
        <v>211</v>
      </c>
      <c r="N6" s="19" t="n">
        <v>2</v>
      </c>
      <c r="O6" s="19" t="s">
        <v>200</v>
      </c>
      <c r="P6" s="28" t="s">
        <v>212</v>
      </c>
      <c r="Q6" s="19" t="s">
        <v>213</v>
      </c>
    </row>
    <row r="7" customFormat="false" ht="15" hidden="false" customHeight="false" outlineLevel="0" collapsed="false">
      <c r="A7" s="19" t="n">
        <v>2974</v>
      </c>
      <c r="B7" s="19" t="str">
        <f aca="false">INDEX(Strength!$B$2:$B$76,MATCH(A7,Strength!$A$2:$A$76,0))</f>
        <v>Walton Robotics</v>
      </c>
      <c r="C7" s="19" t="str">
        <f aca="false">INDEX(Strength!$C$2:$C$76,MATCH(A7,Strength!$A$2:$A$76,0))</f>
        <v>Marietta</v>
      </c>
      <c r="D7" s="20" t="n">
        <f aca="false">INDEX(Strength!$U$2:$U$76,MATCH(A7,Strength!$A$2:$A$76,0))</f>
        <v>82.0974677496417</v>
      </c>
      <c r="E7" s="19" t="n">
        <f aca="false">INDEX(Strength!$V$2:$V$76,MATCH(A7,Strength!$A$2:$A$76,0))</f>
        <v>6</v>
      </c>
      <c r="F7" s="27" t="s">
        <v>106</v>
      </c>
      <c r="G7" s="27" t="s">
        <v>111</v>
      </c>
      <c r="H7" s="19" t="n">
        <f aca="false">IF(ISERROR(INDEX('Events 2027'!$C$5:$C$9,MATCH(F7,'Events 2027'!$A$5:$A$9,0))),"",INDEX('Events 2027'!$C$5:$C$9,MATCH(F7,'Events 2027'!$A$5:$A$9,0)))</f>
        <v>1</v>
      </c>
      <c r="I7" s="19" t="n">
        <f aca="false">IF(ISERROR(INDEX('Events 2027'!$C$5:$C$9,MATCH(G7,'Events 2027'!$A$5:$A$9,0))),"",INDEX('Events 2027'!$C$5:$C$9,MATCH(G7,'Events 2027'!$A$5:$A$9,0)))</f>
        <v>5</v>
      </c>
      <c r="J7" s="26" t="n">
        <f aca="false">IF(ISERROR(ABS(I7-H7)),"",ABS(I7-H7))</f>
        <v>4</v>
      </c>
      <c r="K7" s="20" t="n">
        <f aca="false">IF(ISERROR(INDEX('Drive Times'!$D$12:$I$51,MATCH(C7,'Drive Times'!$A$12:$A$51,0),MATCH(F7,'Drive Times'!$D$11:$I$11,0))),"",INDEX('Drive Times'!$D$12:$I$51,MATCH(C7,'Drive Times'!$A$12:$A$51,0),MATCH(F7,'Drive Times'!$D$11:$I$11,0)))</f>
        <v>1.35133796113295</v>
      </c>
      <c r="L7" s="20" t="n">
        <f aca="false">IF(ISERROR(INDEX('Drive Times'!$D$12:$I$51,MATCH(C7,'Drive Times'!$A$12:$A$51,0),MATCH(G7,'Drive Times'!$D$11:$I$11,0))),"",INDEX('Drive Times'!$D$12:$I$51,MATCH(C7,'Drive Times'!$A$12:$A$51,0),MATCH(G7,'Drive Times'!$D$11:$I$11,0)))</f>
        <v>0.556516364828724</v>
      </c>
      <c r="M7" s="19" t="s">
        <v>214</v>
      </c>
      <c r="N7" s="19" t="n">
        <v>1</v>
      </c>
      <c r="O7" s="19" t="s">
        <v>204</v>
      </c>
      <c r="P7" s="28" t="s">
        <v>215</v>
      </c>
      <c r="Q7" s="19" t="s">
        <v>209</v>
      </c>
    </row>
    <row r="8" customFormat="false" ht="15" hidden="false" customHeight="false" outlineLevel="0" collapsed="false">
      <c r="A8" s="19" t="n">
        <v>1683</v>
      </c>
      <c r="B8" s="19" t="str">
        <f aca="false">INDEX(Strength!$B$2:$B$76,MATCH(A8,Strength!$A$2:$A$76,0))</f>
        <v>Techno Titans</v>
      </c>
      <c r="C8" s="19" t="str">
        <f aca="false">INDEX(Strength!$C$2:$C$76,MATCH(A8,Strength!$A$2:$A$76,0))</f>
        <v>Johns Creek</v>
      </c>
      <c r="D8" s="20" t="n">
        <f aca="false">INDEX(Strength!$U$2:$U$76,MATCH(A8,Strength!$A$2:$A$76,0))</f>
        <v>77.2275641025641</v>
      </c>
      <c r="E8" s="19" t="n">
        <f aca="false">INDEX(Strength!$V$2:$V$76,MATCH(A8,Strength!$A$2:$A$76,0))</f>
        <v>7</v>
      </c>
      <c r="F8" s="27" t="s">
        <v>107</v>
      </c>
      <c r="G8" s="27" t="s">
        <v>108</v>
      </c>
      <c r="H8" s="19" t="n">
        <f aca="false">IF(ISERROR(INDEX('Events 2027'!$C$5:$C$9,MATCH(F8,'Events 2027'!$A$5:$A$9,0))),"",INDEX('Events 2027'!$C$5:$C$9,MATCH(F8,'Events 2027'!$A$5:$A$9,0)))</f>
        <v>2</v>
      </c>
      <c r="I8" s="19" t="n">
        <f aca="false">IF(ISERROR(INDEX('Events 2027'!$C$5:$C$9,MATCH(G8,'Events 2027'!$A$5:$A$9,0))),"",INDEX('Events 2027'!$C$5:$C$9,MATCH(G8,'Events 2027'!$A$5:$A$9,0)))</f>
        <v>3</v>
      </c>
      <c r="J8" s="26" t="n">
        <f aca="false">IF(ISERROR(ABS(I8-H8)),"",ABS(I8-H8))</f>
        <v>1</v>
      </c>
      <c r="K8" s="20" t="n">
        <f aca="false">IF(ISERROR(INDEX('Drive Times'!$D$12:$I$51,MATCH(C8,'Drive Times'!$A$12:$A$51,0),MATCH(F8,'Drive Times'!$D$11:$I$11,0))),"",INDEX('Drive Times'!$D$12:$I$51,MATCH(C8,'Drive Times'!$A$12:$A$51,0),MATCH(F8,'Drive Times'!$D$11:$I$11,0)))</f>
        <v>0.746604853217544</v>
      </c>
      <c r="L8" s="20" t="n">
        <f aca="false">IF(ISERROR(INDEX('Drive Times'!$D$12:$I$51,MATCH(C8,'Drive Times'!$A$12:$A$51,0),MATCH(G8,'Drive Times'!$D$11:$I$11,0))),"",INDEX('Drive Times'!$D$12:$I$51,MATCH(C8,'Drive Times'!$A$12:$A$51,0),MATCH(G8,'Drive Times'!$D$11:$I$11,0)))</f>
        <v>0.466410744628661</v>
      </c>
      <c r="M8" s="19" t="s">
        <v>199</v>
      </c>
      <c r="N8" s="19" t="n">
        <v>2</v>
      </c>
      <c r="O8" s="19" t="s">
        <v>200</v>
      </c>
      <c r="P8" s="28" t="s">
        <v>216</v>
      </c>
      <c r="Q8" s="19" t="s">
        <v>209</v>
      </c>
    </row>
    <row r="9" customFormat="false" ht="15" hidden="false" customHeight="false" outlineLevel="0" collapsed="false">
      <c r="A9" s="19" t="n">
        <v>6829</v>
      </c>
      <c r="B9" s="19" t="str">
        <f aca="false">INDEX(Strength!$B$2:$B$76,MATCH(A9,Strength!$A$2:$A$76,0))</f>
        <v>Ignite Robotics</v>
      </c>
      <c r="C9" s="19" t="str">
        <f aca="false">INDEX(Strength!$C$2:$C$76,MATCH(A9,Strength!$A$2:$A$76,0))</f>
        <v>Suwanee</v>
      </c>
      <c r="D9" s="20" t="n">
        <f aca="false">INDEX(Strength!$U$2:$U$76,MATCH(A9,Strength!$A$2:$A$76,0))</f>
        <v>70.7967032967033</v>
      </c>
      <c r="E9" s="19" t="n">
        <f aca="false">INDEX(Strength!$V$2:$V$76,MATCH(A9,Strength!$A$2:$A$76,0))</f>
        <v>8</v>
      </c>
      <c r="F9" s="27" t="s">
        <v>106</v>
      </c>
      <c r="G9" s="27" t="s">
        <v>110</v>
      </c>
      <c r="H9" s="19" t="n">
        <f aca="false">IF(ISERROR(INDEX('Events 2027'!$C$5:$C$9,MATCH(F9,'Events 2027'!$A$5:$A$9,0))),"",INDEX('Events 2027'!$C$5:$C$9,MATCH(F9,'Events 2027'!$A$5:$A$9,0)))</f>
        <v>1</v>
      </c>
      <c r="I9" s="19" t="n">
        <f aca="false">IF(ISERROR(INDEX('Events 2027'!$C$5:$C$9,MATCH(G9,'Events 2027'!$A$5:$A$9,0))),"",INDEX('Events 2027'!$C$5:$C$9,MATCH(G9,'Events 2027'!$A$5:$A$9,0)))</f>
        <v>4</v>
      </c>
      <c r="J9" s="26" t="n">
        <f aca="false">IF(ISERROR(ABS(I9-H9)),"",ABS(I9-H9))</f>
        <v>3</v>
      </c>
      <c r="K9" s="20" t="n">
        <f aca="false">IF(ISERROR(INDEX('Drive Times'!$D$12:$I$51,MATCH(C9,'Drive Times'!$A$12:$A$51,0),MATCH(F9,'Drive Times'!$D$11:$I$11,0))),"",INDEX('Drive Times'!$D$12:$I$51,MATCH(C9,'Drive Times'!$A$12:$A$51,0),MATCH(F9,'Drive Times'!$D$11:$I$11,0)))</f>
        <v>1.535556028279</v>
      </c>
      <c r="L9" s="20" t="n">
        <f aca="false">IF(ISERROR(INDEX('Drive Times'!$D$12:$I$51,MATCH(C9,'Drive Times'!$A$12:$A$51,0),MATCH(G9,'Drive Times'!$D$11:$I$11,0))),"",INDEX('Drive Times'!$D$12:$I$51,MATCH(C9,'Drive Times'!$A$12:$A$51,0),MATCH(G9,'Drive Times'!$D$11:$I$11,0)))</f>
        <v>3.36064753209562</v>
      </c>
      <c r="M9" s="19" t="s">
        <v>214</v>
      </c>
      <c r="N9" s="19" t="n">
        <v>1</v>
      </c>
      <c r="O9" s="19" t="s">
        <v>204</v>
      </c>
      <c r="P9" s="28" t="s">
        <v>217</v>
      </c>
      <c r="Q9" s="19" t="s">
        <v>209</v>
      </c>
    </row>
    <row r="10" customFormat="false" ht="15" hidden="false" customHeight="false" outlineLevel="0" collapsed="false">
      <c r="A10" s="19" t="n">
        <v>4189</v>
      </c>
      <c r="B10" s="19" t="str">
        <f aca="false">INDEX(Strength!$B$2:$B$76,MATCH(A10,Strength!$A$2:$A$76,0))</f>
        <v>Chargers</v>
      </c>
      <c r="C10" s="19" t="str">
        <f aca="false">INDEX(Strength!$C$2:$C$76,MATCH(A10,Strength!$A$2:$A$76,0))</f>
        <v>Jefferson</v>
      </c>
      <c r="D10" s="20" t="n">
        <f aca="false">INDEX(Strength!$U$2:$U$76,MATCH(A10,Strength!$A$2:$A$76,0))</f>
        <v>66.6781135531136</v>
      </c>
      <c r="E10" s="19" t="n">
        <f aca="false">INDEX(Strength!$V$2:$V$76,MATCH(A10,Strength!$A$2:$A$76,0))</f>
        <v>9</v>
      </c>
      <c r="F10" s="27" t="s">
        <v>107</v>
      </c>
      <c r="G10" s="27" t="s">
        <v>108</v>
      </c>
      <c r="H10" s="19" t="n">
        <f aca="false">IF(ISERROR(INDEX('Events 2027'!$C$5:$C$9,MATCH(F10,'Events 2027'!$A$5:$A$9,0))),"",INDEX('Events 2027'!$C$5:$C$9,MATCH(F10,'Events 2027'!$A$5:$A$9,0)))</f>
        <v>2</v>
      </c>
      <c r="I10" s="19" t="n">
        <f aca="false">IF(ISERROR(INDEX('Events 2027'!$C$5:$C$9,MATCH(G10,'Events 2027'!$A$5:$A$9,0))),"",INDEX('Events 2027'!$C$5:$C$9,MATCH(G10,'Events 2027'!$A$5:$A$9,0)))</f>
        <v>3</v>
      </c>
      <c r="J10" s="26" t="n">
        <f aca="false">IF(ISERROR(ABS(I10-H10)),"",ABS(I10-H10))</f>
        <v>1</v>
      </c>
      <c r="K10" s="20" t="n">
        <f aca="false">IF(ISERROR(INDEX('Drive Times'!$D$12:$I$51,MATCH(C10,'Drive Times'!$A$12:$A$51,0),MATCH(F10,'Drive Times'!$D$11:$I$11,0))),"",INDEX('Drive Times'!$D$12:$I$51,MATCH(C10,'Drive Times'!$A$12:$A$51,0),MATCH(F10,'Drive Times'!$D$11:$I$11,0)))</f>
        <v>0.576893510677239</v>
      </c>
      <c r="L10" s="20" t="n">
        <f aca="false">IF(ISERROR(INDEX('Drive Times'!$D$12:$I$51,MATCH(C10,'Drive Times'!$A$12:$A$51,0),MATCH(G10,'Drive Times'!$D$11:$I$11,0))),"",INDEX('Drive Times'!$D$12:$I$51,MATCH(C10,'Drive Times'!$A$12:$A$51,0),MATCH(G10,'Drive Times'!$D$11:$I$11,0)))</f>
        <v>0.709168161850083</v>
      </c>
      <c r="M10" s="19" t="s">
        <v>199</v>
      </c>
      <c r="N10" s="19" t="n">
        <v>2</v>
      </c>
      <c r="O10" s="19" t="s">
        <v>200</v>
      </c>
      <c r="P10" s="28" t="s">
        <v>218</v>
      </c>
      <c r="Q10" s="19" t="s">
        <v>202</v>
      </c>
    </row>
    <row r="11" customFormat="false" ht="15" hidden="false" customHeight="false" outlineLevel="0" collapsed="false">
      <c r="A11" s="19" t="n">
        <v>4026</v>
      </c>
      <c r="B11" s="19" t="str">
        <f aca="false">INDEX(Strength!$B$2:$B$76,MATCH(A11,Strength!$A$2:$A$76,0))</f>
        <v>Decatur Robotics</v>
      </c>
      <c r="C11" s="19" t="str">
        <f aca="false">INDEX(Strength!$C$2:$C$76,MATCH(A11,Strength!$A$2:$A$76,0))</f>
        <v>Decatur</v>
      </c>
      <c r="D11" s="20" t="n">
        <f aca="false">INDEX(Strength!$U$2:$U$76,MATCH(A11,Strength!$A$2:$A$76,0))</f>
        <v>58.6034798534799</v>
      </c>
      <c r="E11" s="19" t="n">
        <f aca="false">INDEX(Strength!$V$2:$V$76,MATCH(A11,Strength!$A$2:$A$76,0))</f>
        <v>10</v>
      </c>
      <c r="F11" s="27" t="s">
        <v>106</v>
      </c>
      <c r="G11" s="27" t="s">
        <v>111</v>
      </c>
      <c r="H11" s="19" t="n">
        <f aca="false">IF(ISERROR(INDEX('Events 2027'!$C$5:$C$9,MATCH(F11,'Events 2027'!$A$5:$A$9,0))),"",INDEX('Events 2027'!$C$5:$C$9,MATCH(F11,'Events 2027'!$A$5:$A$9,0)))</f>
        <v>1</v>
      </c>
      <c r="I11" s="19" t="n">
        <f aca="false">IF(ISERROR(INDEX('Events 2027'!$C$5:$C$9,MATCH(G11,'Events 2027'!$A$5:$A$9,0))),"",INDEX('Events 2027'!$C$5:$C$9,MATCH(G11,'Events 2027'!$A$5:$A$9,0)))</f>
        <v>5</v>
      </c>
      <c r="J11" s="26" t="n">
        <f aca="false">IF(ISERROR(ABS(I11-H11)),"",ABS(I11-H11))</f>
        <v>4</v>
      </c>
      <c r="K11" s="20" t="n">
        <f aca="false">IF(ISERROR(INDEX('Drive Times'!$D$12:$I$51,MATCH(C11,'Drive Times'!$A$12:$A$51,0),MATCH(F11,'Drive Times'!$D$11:$I$11,0))),"",INDEX('Drive Times'!$D$12:$I$51,MATCH(C11,'Drive Times'!$A$12:$A$51,0),MATCH(F11,'Drive Times'!$D$11:$I$11,0)))</f>
        <v>1.67145034800839</v>
      </c>
      <c r="L11" s="20" t="n">
        <f aca="false">IF(ISERROR(INDEX('Drive Times'!$D$12:$I$51,MATCH(C11,'Drive Times'!$A$12:$A$51,0),MATCH(G11,'Drive Times'!$D$11:$I$11,0))),"",INDEX('Drive Times'!$D$12:$I$51,MATCH(C11,'Drive Times'!$A$12:$A$51,0),MATCH(G11,'Drive Times'!$D$11:$I$11,0)))</f>
        <v>0.703125846963862</v>
      </c>
      <c r="M11" s="19" t="s">
        <v>214</v>
      </c>
      <c r="N11" s="19" t="n">
        <v>1</v>
      </c>
      <c r="O11" s="19" t="s">
        <v>204</v>
      </c>
      <c r="P11" s="28" t="s">
        <v>219</v>
      </c>
      <c r="Q11" s="19" t="s">
        <v>209</v>
      </c>
    </row>
    <row r="12" customFormat="false" ht="15" hidden="false" customHeight="false" outlineLevel="0" collapsed="false">
      <c r="A12" s="19" t="n">
        <v>832</v>
      </c>
      <c r="B12" s="19" t="str">
        <f aca="false">INDEX(Strength!$B$2:$B$76,MATCH(A12,Strength!$A$2:$A$76,0))</f>
        <v>OSCAR</v>
      </c>
      <c r="C12" s="19" t="str">
        <f aca="false">INDEX(Strength!$C$2:$C$76,MATCH(A12,Strength!$A$2:$A$76,0))</f>
        <v>Roswell</v>
      </c>
      <c r="D12" s="20" t="n">
        <f aca="false">INDEX(Strength!$U$2:$U$76,MATCH(A12,Strength!$A$2:$A$76,0))</f>
        <v>57.2847985347985</v>
      </c>
      <c r="E12" s="19" t="n">
        <f aca="false">INDEX(Strength!$V$2:$V$76,MATCH(A12,Strength!$A$2:$A$76,0))</f>
        <v>11</v>
      </c>
      <c r="F12" s="27" t="s">
        <v>106</v>
      </c>
      <c r="G12" s="27" t="s">
        <v>111</v>
      </c>
      <c r="H12" s="19" t="n">
        <f aca="false">IF(ISERROR(INDEX('Events 2027'!$C$5:$C$9,MATCH(F12,'Events 2027'!$A$5:$A$9,0))),"",INDEX('Events 2027'!$C$5:$C$9,MATCH(F12,'Events 2027'!$A$5:$A$9,0)))</f>
        <v>1</v>
      </c>
      <c r="I12" s="19" t="n">
        <f aca="false">IF(ISERROR(INDEX('Events 2027'!$C$5:$C$9,MATCH(G12,'Events 2027'!$A$5:$A$9,0))),"",INDEX('Events 2027'!$C$5:$C$9,MATCH(G12,'Events 2027'!$A$5:$A$9,0)))</f>
        <v>5</v>
      </c>
      <c r="J12" s="26" t="n">
        <f aca="false">IF(ISERROR(ABS(I12-H12)),"",ABS(I12-H12))</f>
        <v>4</v>
      </c>
      <c r="K12" s="20" t="n">
        <f aca="false">IF(ISERROR(INDEX('Drive Times'!$D$12:$I$51,MATCH(C12,'Drive Times'!$A$12:$A$51,0),MATCH(F12,'Drive Times'!$D$11:$I$11,0))),"",INDEX('Drive Times'!$D$12:$I$51,MATCH(C12,'Drive Times'!$A$12:$A$51,0),MATCH(F12,'Drive Times'!$D$11:$I$11,0)))</f>
        <v>1.36692890493028</v>
      </c>
      <c r="L12" s="20" t="n">
        <f aca="false">IF(ISERROR(INDEX('Drive Times'!$D$12:$I$51,MATCH(C12,'Drive Times'!$A$12:$A$51,0),MATCH(G12,'Drive Times'!$D$11:$I$11,0))),"",INDEX('Drive Times'!$D$12:$I$51,MATCH(C12,'Drive Times'!$A$12:$A$51,0),MATCH(G12,'Drive Times'!$D$11:$I$11,0)))</f>
        <v>0.758820234430788</v>
      </c>
      <c r="M12" s="19" t="s">
        <v>214</v>
      </c>
      <c r="N12" s="19" t="n">
        <v>1</v>
      </c>
      <c r="O12" s="19" t="s">
        <v>204</v>
      </c>
      <c r="P12" s="28" t="s">
        <v>220</v>
      </c>
      <c r="Q12" s="19" t="s">
        <v>209</v>
      </c>
    </row>
    <row r="13" customFormat="false" ht="15" hidden="false" customHeight="false" outlineLevel="0" collapsed="false">
      <c r="A13" s="19" t="n">
        <v>1648</v>
      </c>
      <c r="B13" s="19" t="str">
        <f aca="false">INDEX(Strength!$B$2:$B$76,MATCH(A13,Strength!$A$2:$A$76,0))</f>
        <v>G3 Robotics</v>
      </c>
      <c r="C13" s="19" t="str">
        <f aca="false">INDEX(Strength!$C$2:$C$76,MATCH(A13,Strength!$A$2:$A$76,0))</f>
        <v>Atlanta</v>
      </c>
      <c r="D13" s="20" t="n">
        <f aca="false">INDEX(Strength!$U$2:$U$76,MATCH(A13,Strength!$A$2:$A$76,0))</f>
        <v>55.6410256410256</v>
      </c>
      <c r="E13" s="19" t="n">
        <f aca="false">INDEX(Strength!$V$2:$V$76,MATCH(A13,Strength!$A$2:$A$76,0))</f>
        <v>12</v>
      </c>
      <c r="F13" s="27" t="s">
        <v>106</v>
      </c>
      <c r="G13" s="27" t="s">
        <v>110</v>
      </c>
      <c r="H13" s="19" t="n">
        <f aca="false">IF(ISERROR(INDEX('Events 2027'!$C$5:$C$9,MATCH(F13,'Events 2027'!$A$5:$A$9,0))),"",INDEX('Events 2027'!$C$5:$C$9,MATCH(F13,'Events 2027'!$A$5:$A$9,0)))</f>
        <v>1</v>
      </c>
      <c r="I13" s="19" t="n">
        <f aca="false">IF(ISERROR(INDEX('Events 2027'!$C$5:$C$9,MATCH(G13,'Events 2027'!$A$5:$A$9,0))),"",INDEX('Events 2027'!$C$5:$C$9,MATCH(G13,'Events 2027'!$A$5:$A$9,0)))</f>
        <v>4</v>
      </c>
      <c r="J13" s="26" t="n">
        <f aca="false">IF(ISERROR(ABS(I13-H13)),"",ABS(I13-H13))</f>
        <v>3</v>
      </c>
      <c r="K13" s="20" t="n">
        <f aca="false">IF(ISERROR(INDEX('Drive Times'!$D$12:$I$51,MATCH(C13,'Drive Times'!$A$12:$A$51,0),MATCH(F13,'Drive Times'!$D$11:$I$11,0))),"",INDEX('Drive Times'!$D$12:$I$51,MATCH(C13,'Drive Times'!$A$12:$A$51,0),MATCH(F13,'Drive Times'!$D$11:$I$11,0)))</f>
        <v>1.65670462748578</v>
      </c>
      <c r="L13" s="20" t="n">
        <f aca="false">IF(ISERROR(INDEX('Drive Times'!$D$12:$I$51,MATCH(C13,'Drive Times'!$A$12:$A$51,0),MATCH(G13,'Drive Times'!$D$11:$I$11,0))),"",INDEX('Drive Times'!$D$12:$I$51,MATCH(C13,'Drive Times'!$A$12:$A$51,0),MATCH(G13,'Drive Times'!$D$11:$I$11,0)))</f>
        <v>2.98796135280908</v>
      </c>
      <c r="M13" s="19" t="s">
        <v>211</v>
      </c>
      <c r="N13" s="19" t="n">
        <v>1</v>
      </c>
      <c r="O13" s="19" t="s">
        <v>204</v>
      </c>
      <c r="P13" s="28" t="s">
        <v>221</v>
      </c>
      <c r="Q13" s="19" t="s">
        <v>209</v>
      </c>
    </row>
    <row r="14" customFormat="false" ht="15" hidden="false" customHeight="false" outlineLevel="0" collapsed="false">
      <c r="A14" s="19" t="n">
        <v>4509</v>
      </c>
      <c r="B14" s="19" t="str">
        <f aca="false">INDEX(Strength!$B$2:$B$76,MATCH(A14,Strength!$A$2:$A$76,0))</f>
        <v>Mechanical Bulls</v>
      </c>
      <c r="C14" s="19" t="str">
        <f aca="false">INDEX(Strength!$C$2:$C$76,MATCH(A14,Strength!$A$2:$A$76,0))</f>
        <v>Sugar Hill</v>
      </c>
      <c r="D14" s="20" t="n">
        <f aca="false">INDEX(Strength!$U$2:$U$76,MATCH(A14,Strength!$A$2:$A$76,0))</f>
        <v>55.1242236024845</v>
      </c>
      <c r="E14" s="19" t="n">
        <f aca="false">INDEX(Strength!$V$2:$V$76,MATCH(A14,Strength!$A$2:$A$76,0))</f>
        <v>13</v>
      </c>
      <c r="F14" s="27" t="s">
        <v>107</v>
      </c>
      <c r="G14" s="27" t="s">
        <v>108</v>
      </c>
      <c r="H14" s="19" t="n">
        <f aca="false">IF(ISERROR(INDEX('Events 2027'!$C$5:$C$9,MATCH(F14,'Events 2027'!$A$5:$A$9,0))),"",INDEX('Events 2027'!$C$5:$C$9,MATCH(F14,'Events 2027'!$A$5:$A$9,0)))</f>
        <v>2</v>
      </c>
      <c r="I14" s="19" t="n">
        <f aca="false">IF(ISERROR(INDEX('Events 2027'!$C$5:$C$9,MATCH(G14,'Events 2027'!$A$5:$A$9,0))),"",INDEX('Events 2027'!$C$5:$C$9,MATCH(G14,'Events 2027'!$A$5:$A$9,0)))</f>
        <v>3</v>
      </c>
      <c r="J14" s="26" t="n">
        <f aca="false">IF(ISERROR(ABS(I14-H14)),"",ABS(I14-H14))</f>
        <v>1</v>
      </c>
      <c r="K14" s="20" t="n">
        <f aca="false">IF(ISERROR(INDEX('Drive Times'!$D$12:$I$51,MATCH(C14,'Drive Times'!$A$12:$A$51,0),MATCH(F14,'Drive Times'!$D$11:$I$11,0))),"",INDEX('Drive Times'!$D$12:$I$51,MATCH(C14,'Drive Times'!$A$12:$A$51,0),MATCH(F14,'Drive Times'!$D$11:$I$11,0)))</f>
        <v>0.554494768903824</v>
      </c>
      <c r="L14" s="20" t="n">
        <f aca="false">IF(ISERROR(INDEX('Drive Times'!$D$12:$I$51,MATCH(C14,'Drive Times'!$A$12:$A$51,0),MATCH(G14,'Drive Times'!$D$11:$I$11,0))),"",INDEX('Drive Times'!$D$12:$I$51,MATCH(C14,'Drive Times'!$A$12:$A$51,0),MATCH(G14,'Drive Times'!$D$11:$I$11,0)))</f>
        <v>0.423057530945624</v>
      </c>
      <c r="M14" s="19" t="s">
        <v>199</v>
      </c>
      <c r="N14" s="19" t="n">
        <v>2</v>
      </c>
      <c r="O14" s="19" t="s">
        <v>200</v>
      </c>
      <c r="P14" s="28" t="s">
        <v>222</v>
      </c>
      <c r="Q14" s="19" t="s">
        <v>213</v>
      </c>
    </row>
    <row r="15" customFormat="false" ht="15" hidden="false" customHeight="false" outlineLevel="0" collapsed="false">
      <c r="A15" s="19" t="n">
        <v>9477</v>
      </c>
      <c r="B15" s="19" t="str">
        <f aca="false">INDEX(Strength!$B$2:$B$76,MATCH(A15,Strength!$A$2:$A$76,0))</f>
        <v>Lambda</v>
      </c>
      <c r="C15" s="19" t="str">
        <f aca="false">INDEX(Strength!$C$2:$C$76,MATCH(A15,Strength!$A$2:$A$76,0))</f>
        <v>Suwanee</v>
      </c>
      <c r="D15" s="20" t="n">
        <f aca="false">INDEX(Strength!$U$2:$U$76,MATCH(A15,Strength!$A$2:$A$76,0))</f>
        <v>54.8447204968944</v>
      </c>
      <c r="E15" s="19" t="n">
        <f aca="false">INDEX(Strength!$V$2:$V$76,MATCH(A15,Strength!$A$2:$A$76,0))</f>
        <v>14</v>
      </c>
      <c r="F15" s="27" t="s">
        <v>106</v>
      </c>
      <c r="G15" s="27" t="s">
        <v>110</v>
      </c>
      <c r="H15" s="19" t="n">
        <f aca="false">IF(ISERROR(INDEX('Events 2027'!$C$5:$C$9,MATCH(F15,'Events 2027'!$A$5:$A$9,0))),"",INDEX('Events 2027'!$C$5:$C$9,MATCH(F15,'Events 2027'!$A$5:$A$9,0)))</f>
        <v>1</v>
      </c>
      <c r="I15" s="19" t="n">
        <f aca="false">IF(ISERROR(INDEX('Events 2027'!$C$5:$C$9,MATCH(G15,'Events 2027'!$A$5:$A$9,0))),"",INDEX('Events 2027'!$C$5:$C$9,MATCH(G15,'Events 2027'!$A$5:$A$9,0)))</f>
        <v>4</v>
      </c>
      <c r="J15" s="26" t="n">
        <f aca="false">IF(ISERROR(ABS(I15-H15)),"",ABS(I15-H15))</f>
        <v>3</v>
      </c>
      <c r="K15" s="20" t="n">
        <f aca="false">IF(ISERROR(INDEX('Drive Times'!$D$12:$I$51,MATCH(C15,'Drive Times'!$A$12:$A$51,0),MATCH(F15,'Drive Times'!$D$11:$I$11,0))),"",INDEX('Drive Times'!$D$12:$I$51,MATCH(C15,'Drive Times'!$A$12:$A$51,0),MATCH(F15,'Drive Times'!$D$11:$I$11,0)))</f>
        <v>1.535556028279</v>
      </c>
      <c r="L15" s="20" t="n">
        <f aca="false">IF(ISERROR(INDEX('Drive Times'!$D$12:$I$51,MATCH(C15,'Drive Times'!$A$12:$A$51,0),MATCH(G15,'Drive Times'!$D$11:$I$11,0))),"",INDEX('Drive Times'!$D$12:$I$51,MATCH(C15,'Drive Times'!$A$12:$A$51,0),MATCH(G15,'Drive Times'!$D$11:$I$11,0)))</f>
        <v>3.36064753209562</v>
      </c>
      <c r="M15" s="19" t="s">
        <v>138</v>
      </c>
      <c r="N15" s="19" t="n">
        <v>2</v>
      </c>
      <c r="O15" s="19" t="s">
        <v>204</v>
      </c>
      <c r="P15" s="28" t="s">
        <v>223</v>
      </c>
      <c r="Q15" s="19" t="s">
        <v>209</v>
      </c>
    </row>
    <row r="16" customFormat="false" ht="15" hidden="false" customHeight="false" outlineLevel="0" collapsed="false">
      <c r="A16" s="19" t="n">
        <v>1261</v>
      </c>
      <c r="B16" s="19" t="str">
        <f aca="false">INDEX(Strength!$B$2:$B$76,MATCH(A16,Strength!$A$2:$A$76,0))</f>
        <v>Robo Lions Team1261</v>
      </c>
      <c r="C16" s="19" t="str">
        <f aca="false">INDEX(Strength!$C$2:$C$76,MATCH(A16,Strength!$A$2:$A$76,0))</f>
        <v>Suwanee</v>
      </c>
      <c r="D16" s="20" t="n">
        <f aca="false">INDEX(Strength!$U$2:$U$76,MATCH(A16,Strength!$A$2:$A$76,0))</f>
        <v>53.6721611721612</v>
      </c>
      <c r="E16" s="19" t="n">
        <f aca="false">INDEX(Strength!$V$2:$V$76,MATCH(A16,Strength!$A$2:$A$76,0))</f>
        <v>15</v>
      </c>
      <c r="F16" s="27" t="s">
        <v>108</v>
      </c>
      <c r="G16" s="27" t="s">
        <v>110</v>
      </c>
      <c r="H16" s="19" t="n">
        <f aca="false">IF(ISERROR(INDEX('Events 2027'!$C$5:$C$9,MATCH(F16,'Events 2027'!$A$5:$A$9,0))),"",INDEX('Events 2027'!$C$5:$C$9,MATCH(F16,'Events 2027'!$A$5:$A$9,0)))</f>
        <v>3</v>
      </c>
      <c r="I16" s="19" t="n">
        <f aca="false">IF(ISERROR(INDEX('Events 2027'!$C$5:$C$9,MATCH(G16,'Events 2027'!$A$5:$A$9,0))),"",INDEX('Events 2027'!$C$5:$C$9,MATCH(G16,'Events 2027'!$A$5:$A$9,0)))</f>
        <v>4</v>
      </c>
      <c r="J16" s="26" t="n">
        <f aca="false">IF(ISERROR(ABS(I16-H16)),"",ABS(I16-H16))</f>
        <v>1</v>
      </c>
      <c r="K16" s="20" t="n">
        <f aca="false">IF(ISERROR(INDEX('Drive Times'!$D$12:$I$51,MATCH(C16,'Drive Times'!$A$12:$A$51,0),MATCH(F16,'Drive Times'!$D$11:$I$11,0))),"",INDEX('Drive Times'!$D$12:$I$51,MATCH(C16,'Drive Times'!$A$12:$A$51,0),MATCH(F16,'Drive Times'!$D$11:$I$11,0)))</f>
        <v>0.375860640784249</v>
      </c>
      <c r="L16" s="20" t="n">
        <f aca="false">IF(ISERROR(INDEX('Drive Times'!$D$12:$I$51,MATCH(C16,'Drive Times'!$A$12:$A$51,0),MATCH(G16,'Drive Times'!$D$11:$I$11,0))),"",INDEX('Drive Times'!$D$12:$I$51,MATCH(C16,'Drive Times'!$A$12:$A$51,0),MATCH(G16,'Drive Times'!$D$11:$I$11,0)))</f>
        <v>3.36064753209562</v>
      </c>
      <c r="M16" s="19" t="s">
        <v>211</v>
      </c>
      <c r="N16" s="19" t="n">
        <v>2</v>
      </c>
      <c r="O16" s="19" t="s">
        <v>200</v>
      </c>
      <c r="P16" s="28" t="s">
        <v>212</v>
      </c>
      <c r="Q16" s="19" t="s">
        <v>213</v>
      </c>
    </row>
    <row r="17" customFormat="false" ht="15" hidden="false" customHeight="false" outlineLevel="0" collapsed="false">
      <c r="A17" s="19" t="n">
        <v>5109</v>
      </c>
      <c r="B17" s="19" t="str">
        <f aca="false">INDEX(Strength!$B$2:$B$76,MATCH(A17,Strength!$A$2:$A$76,0))</f>
        <v>Gladiator Robotics</v>
      </c>
      <c r="C17" s="19" t="str">
        <f aca="false">INDEX(Strength!$C$2:$C$76,MATCH(A17,Strength!$A$2:$A$76,0))</f>
        <v>Johns Creek</v>
      </c>
      <c r="D17" s="20" t="n">
        <f aca="false">INDEX(Strength!$U$2:$U$76,MATCH(A17,Strength!$A$2:$A$76,0))</f>
        <v>50.8058608058608</v>
      </c>
      <c r="E17" s="19" t="n">
        <f aca="false">INDEX(Strength!$V$2:$V$76,MATCH(A17,Strength!$A$2:$A$76,0))</f>
        <v>16</v>
      </c>
      <c r="F17" s="27" t="s">
        <v>107</v>
      </c>
      <c r="G17" s="27" t="s">
        <v>108</v>
      </c>
      <c r="H17" s="19" t="n">
        <f aca="false">IF(ISERROR(INDEX('Events 2027'!$C$5:$C$9,MATCH(F17,'Events 2027'!$A$5:$A$9,0))),"",INDEX('Events 2027'!$C$5:$C$9,MATCH(F17,'Events 2027'!$A$5:$A$9,0)))</f>
        <v>2</v>
      </c>
      <c r="I17" s="19" t="n">
        <f aca="false">IF(ISERROR(INDEX('Events 2027'!$C$5:$C$9,MATCH(G17,'Events 2027'!$A$5:$A$9,0))),"",INDEX('Events 2027'!$C$5:$C$9,MATCH(G17,'Events 2027'!$A$5:$A$9,0)))</f>
        <v>3</v>
      </c>
      <c r="J17" s="26" t="n">
        <f aca="false">IF(ISERROR(ABS(I17-H17)),"",ABS(I17-H17))</f>
        <v>1</v>
      </c>
      <c r="K17" s="20" t="n">
        <f aca="false">IF(ISERROR(INDEX('Drive Times'!$D$12:$I$51,MATCH(C17,'Drive Times'!$A$12:$A$51,0),MATCH(F17,'Drive Times'!$D$11:$I$11,0))),"",INDEX('Drive Times'!$D$12:$I$51,MATCH(C17,'Drive Times'!$A$12:$A$51,0),MATCH(F17,'Drive Times'!$D$11:$I$11,0)))</f>
        <v>0.746604853217544</v>
      </c>
      <c r="L17" s="20" t="n">
        <f aca="false">IF(ISERROR(INDEX('Drive Times'!$D$12:$I$51,MATCH(C17,'Drive Times'!$A$12:$A$51,0),MATCH(G17,'Drive Times'!$D$11:$I$11,0))),"",INDEX('Drive Times'!$D$12:$I$51,MATCH(C17,'Drive Times'!$A$12:$A$51,0),MATCH(G17,'Drive Times'!$D$11:$I$11,0)))</f>
        <v>0.466410744628661</v>
      </c>
      <c r="M17" s="19" t="s">
        <v>211</v>
      </c>
      <c r="N17" s="19" t="n">
        <v>1</v>
      </c>
      <c r="O17" s="19" t="s">
        <v>207</v>
      </c>
      <c r="P17" s="28" t="s">
        <v>224</v>
      </c>
      <c r="Q17" s="19" t="s">
        <v>213</v>
      </c>
    </row>
    <row r="18" customFormat="false" ht="15" hidden="false" customHeight="false" outlineLevel="0" collapsed="false">
      <c r="A18" s="19" t="n">
        <v>7451</v>
      </c>
      <c r="B18" s="19" t="str">
        <f aca="false">INDEX(Strength!$B$2:$B$76,MATCH(A18,Strength!$A$2:$A$76,0))</f>
        <v>AvengerRobotics</v>
      </c>
      <c r="C18" s="19" t="str">
        <f aca="false">INDEX(Strength!$C$2:$C$76,MATCH(A18,Strength!$A$2:$A$76,0))</f>
        <v>Cumming</v>
      </c>
      <c r="D18" s="20" t="n">
        <f aca="false">INDEX(Strength!$U$2:$U$76,MATCH(A18,Strength!$A$2:$A$76,0))</f>
        <v>49.878663003663</v>
      </c>
      <c r="E18" s="19" t="n">
        <f aca="false">INDEX(Strength!$V$2:$V$76,MATCH(A18,Strength!$A$2:$A$76,0))</f>
        <v>17</v>
      </c>
      <c r="F18" s="27" t="s">
        <v>106</v>
      </c>
      <c r="G18" s="27" t="s">
        <v>108</v>
      </c>
      <c r="H18" s="19" t="n">
        <f aca="false">IF(ISERROR(INDEX('Events 2027'!$C$5:$C$9,MATCH(F18,'Events 2027'!$A$5:$A$9,0))),"",INDEX('Events 2027'!$C$5:$C$9,MATCH(F18,'Events 2027'!$A$5:$A$9,0)))</f>
        <v>1</v>
      </c>
      <c r="I18" s="19" t="n">
        <f aca="false">IF(ISERROR(INDEX('Events 2027'!$C$5:$C$9,MATCH(G18,'Events 2027'!$A$5:$A$9,0))),"",INDEX('Events 2027'!$C$5:$C$9,MATCH(G18,'Events 2027'!$A$5:$A$9,0)))</f>
        <v>3</v>
      </c>
      <c r="J18" s="26" t="n">
        <f aca="false">IF(ISERROR(ABS(I18-H18)),"",ABS(I18-H18))</f>
        <v>2</v>
      </c>
      <c r="K18" s="20" t="n">
        <f aca="false">IF(ISERROR(INDEX('Drive Times'!$D$12:$I$51,MATCH(C18,'Drive Times'!$A$12:$A$51,0),MATCH(F18,'Drive Times'!$D$11:$I$11,0))),"",INDEX('Drive Times'!$D$12:$I$51,MATCH(C18,'Drive Times'!$A$12:$A$51,0),MATCH(F18,'Drive Times'!$D$11:$I$11,0)))</f>
        <v>1.34940019448378</v>
      </c>
      <c r="L18" s="20" t="n">
        <f aca="false">IF(ISERROR(INDEX('Drive Times'!$D$12:$I$51,MATCH(C18,'Drive Times'!$A$12:$A$51,0),MATCH(G18,'Drive Times'!$D$11:$I$11,0))),"",INDEX('Drive Times'!$D$12:$I$51,MATCH(C18,'Drive Times'!$A$12:$A$51,0),MATCH(G18,'Drive Times'!$D$11:$I$11,0)))</f>
        <v>0.582934575940957</v>
      </c>
      <c r="M18" s="19" t="s">
        <v>214</v>
      </c>
      <c r="N18" s="19" t="n">
        <v>1</v>
      </c>
      <c r="O18" s="19" t="s">
        <v>207</v>
      </c>
      <c r="P18" s="28" t="s">
        <v>225</v>
      </c>
      <c r="Q18" s="19" t="s">
        <v>226</v>
      </c>
    </row>
    <row r="19" customFormat="false" ht="15" hidden="false" customHeight="false" outlineLevel="0" collapsed="false">
      <c r="A19" s="19" t="n">
        <v>8080</v>
      </c>
      <c r="B19" s="19" t="str">
        <f aca="false">INDEX(Strength!$B$2:$B$76,MATCH(A19,Strength!$A$2:$A$76,0))</f>
        <v>Sequoyah High School Robotics</v>
      </c>
      <c r="C19" s="19" t="str">
        <f aca="false">INDEX(Strength!$C$2:$C$76,MATCH(A19,Strength!$A$2:$A$76,0))</f>
        <v>Canton</v>
      </c>
      <c r="D19" s="20" t="n">
        <f aca="false">INDEX(Strength!$U$2:$U$76,MATCH(A19,Strength!$A$2:$A$76,0))</f>
        <v>48.7225274725275</v>
      </c>
      <c r="E19" s="19" t="n">
        <f aca="false">INDEX(Strength!$V$2:$V$76,MATCH(A19,Strength!$A$2:$A$76,0))</f>
        <v>18</v>
      </c>
      <c r="F19" s="27" t="s">
        <v>107</v>
      </c>
      <c r="G19" s="27" t="s">
        <v>110</v>
      </c>
      <c r="H19" s="19" t="n">
        <f aca="false">IF(ISERROR(INDEX('Events 2027'!$C$5:$C$9,MATCH(F19,'Events 2027'!$A$5:$A$9,0))),"",INDEX('Events 2027'!$C$5:$C$9,MATCH(F19,'Events 2027'!$A$5:$A$9,0)))</f>
        <v>2</v>
      </c>
      <c r="I19" s="19" t="n">
        <f aca="false">IF(ISERROR(INDEX('Events 2027'!$C$5:$C$9,MATCH(G19,'Events 2027'!$A$5:$A$9,0))),"",INDEX('Events 2027'!$C$5:$C$9,MATCH(G19,'Events 2027'!$A$5:$A$9,0)))</f>
        <v>4</v>
      </c>
      <c r="J19" s="26" t="n">
        <f aca="false">IF(ISERROR(ABS(I19-H19)),"",ABS(I19-H19))</f>
        <v>2</v>
      </c>
      <c r="K19" s="20" t="n">
        <f aca="false">IF(ISERROR(INDEX('Drive Times'!$D$12:$I$51,MATCH(C19,'Drive Times'!$A$12:$A$51,0),MATCH(F19,'Drive Times'!$D$11:$I$11,0))),"",INDEX('Drive Times'!$D$12:$I$51,MATCH(C19,'Drive Times'!$A$12:$A$51,0),MATCH(F19,'Drive Times'!$D$11:$I$11,0)))</f>
        <v>0.929678488589378</v>
      </c>
      <c r="L19" s="20" t="n">
        <f aca="false">IF(ISERROR(INDEX('Drive Times'!$D$12:$I$51,MATCH(C19,'Drive Times'!$A$12:$A$51,0),MATCH(G19,'Drive Times'!$D$11:$I$11,0))),"",INDEX('Drive Times'!$D$12:$I$51,MATCH(C19,'Drive Times'!$A$12:$A$51,0),MATCH(G19,'Drive Times'!$D$11:$I$11,0)))</f>
        <v>3.61368761820227</v>
      </c>
      <c r="M19" s="19" t="s">
        <v>134</v>
      </c>
      <c r="N19" s="19" t="n">
        <v>2</v>
      </c>
      <c r="O19" s="19" t="s">
        <v>204</v>
      </c>
      <c r="P19" s="28" t="s">
        <v>227</v>
      </c>
      <c r="Q19" s="19" t="s">
        <v>202</v>
      </c>
    </row>
    <row r="20" customFormat="false" ht="15" hidden="false" customHeight="false" outlineLevel="0" collapsed="false">
      <c r="A20" s="19" t="n">
        <v>5900</v>
      </c>
      <c r="B20" s="19" t="str">
        <f aca="false">INDEX(Strength!$B$2:$B$76,MATCH(A20,Strength!$A$2:$A$76,0))</f>
        <v>The Fighting Mongooses</v>
      </c>
      <c r="C20" s="19" t="str">
        <f aca="false">INDEX(Strength!$C$2:$C$76,MATCH(A20,Strength!$A$2:$A$76,0))</f>
        <v>Dalton</v>
      </c>
      <c r="D20" s="20" t="n">
        <f aca="false">INDEX(Strength!$U$2:$U$76,MATCH(A20,Strength!$A$2:$A$76,0))</f>
        <v>47.1932234432234</v>
      </c>
      <c r="E20" s="19" t="n">
        <f aca="false">INDEX(Strength!$V$2:$V$76,MATCH(A20,Strength!$A$2:$A$76,0))</f>
        <v>19</v>
      </c>
      <c r="F20" s="27" t="s">
        <v>106</v>
      </c>
      <c r="G20" s="27" t="s">
        <v>111</v>
      </c>
      <c r="H20" s="19" t="n">
        <f aca="false">IF(ISERROR(INDEX('Events 2027'!$C$5:$C$9,MATCH(F20,'Events 2027'!$A$5:$A$9,0))),"",INDEX('Events 2027'!$C$5:$C$9,MATCH(F20,'Events 2027'!$A$5:$A$9,0)))</f>
        <v>1</v>
      </c>
      <c r="I20" s="19" t="n">
        <f aca="false">IF(ISERROR(INDEX('Events 2027'!$C$5:$C$9,MATCH(G20,'Events 2027'!$A$5:$A$9,0))),"",INDEX('Events 2027'!$C$5:$C$9,MATCH(G20,'Events 2027'!$A$5:$A$9,0)))</f>
        <v>5</v>
      </c>
      <c r="J20" s="26" t="n">
        <f aca="false">IF(ISERROR(ABS(I20-H20)),"",ABS(I20-H20))</f>
        <v>4</v>
      </c>
      <c r="K20" s="20" t="n">
        <f aca="false">IF(ISERROR(INDEX('Drive Times'!$D$12:$I$51,MATCH(C20,'Drive Times'!$A$12:$A$51,0),MATCH(F20,'Drive Times'!$D$11:$I$11,0))),"",INDEX('Drive Times'!$D$12:$I$51,MATCH(C20,'Drive Times'!$A$12:$A$51,0),MATCH(F20,'Drive Times'!$D$11:$I$11,0)))</f>
        <v>0</v>
      </c>
      <c r="L20" s="20" t="n">
        <f aca="false">IF(ISERROR(INDEX('Drive Times'!$D$12:$I$51,MATCH(C20,'Drive Times'!$A$12:$A$51,0),MATCH(G20,'Drive Times'!$D$11:$I$11,0))),"",INDEX('Drive Times'!$D$12:$I$51,MATCH(C20,'Drive Times'!$A$12:$A$51,0),MATCH(G20,'Drive Times'!$D$11:$I$11,0)))</f>
        <v>1.53879658332125</v>
      </c>
      <c r="M20" s="19" t="s">
        <v>214</v>
      </c>
      <c r="N20" s="19" t="n">
        <v>1</v>
      </c>
      <c r="O20" s="19" t="s">
        <v>204</v>
      </c>
      <c r="P20" s="28" t="s">
        <v>228</v>
      </c>
      <c r="Q20" s="19" t="s">
        <v>209</v>
      </c>
    </row>
    <row r="21" customFormat="false" ht="15" hidden="false" customHeight="false" outlineLevel="0" collapsed="false">
      <c r="A21" s="19" t="n">
        <v>11174</v>
      </c>
      <c r="B21" s="19" t="str">
        <f aca="false">INDEX(Strength!$B$2:$B$76,MATCH(A21,Strength!$A$2:$A$76,0))</f>
        <v>Danes Robotics</v>
      </c>
      <c r="C21" s="19" t="str">
        <f aca="false">INDEX(Strength!$C$2:$C$76,MATCH(A21,Strength!$A$2:$A$76,0))</f>
        <v>Alpharetta</v>
      </c>
      <c r="D21" s="20" t="n">
        <f aca="false">INDEX(Strength!$U$2:$U$76,MATCH(A21,Strength!$A$2:$A$76,0))</f>
        <v>45.5494505494506</v>
      </c>
      <c r="E21" s="19" t="n">
        <f aca="false">INDEX(Strength!$V$2:$V$76,MATCH(A21,Strength!$A$2:$A$76,0))</f>
        <v>20</v>
      </c>
      <c r="F21" s="27" t="s">
        <v>107</v>
      </c>
      <c r="G21" s="27" t="s">
        <v>108</v>
      </c>
      <c r="H21" s="19" t="n">
        <f aca="false">IF(ISERROR(INDEX('Events 2027'!$C$5:$C$9,MATCH(F21,'Events 2027'!$A$5:$A$9,0))),"",INDEX('Events 2027'!$C$5:$C$9,MATCH(F21,'Events 2027'!$A$5:$A$9,0)))</f>
        <v>2</v>
      </c>
      <c r="I21" s="19" t="n">
        <f aca="false">IF(ISERROR(INDEX('Events 2027'!$C$5:$C$9,MATCH(G21,'Events 2027'!$A$5:$A$9,0))),"",INDEX('Events 2027'!$C$5:$C$9,MATCH(G21,'Events 2027'!$A$5:$A$9,0)))</f>
        <v>3</v>
      </c>
      <c r="J21" s="26" t="n">
        <f aca="false">IF(ISERROR(ABS(I21-H21)),"",ABS(I21-H21))</f>
        <v>1</v>
      </c>
      <c r="K21" s="20" t="n">
        <f aca="false">IF(ISERROR(INDEX('Drive Times'!$D$12:$I$51,MATCH(C21,'Drive Times'!$A$12:$A$51,0),MATCH(F21,'Drive Times'!$D$11:$I$11,0))),"",INDEX('Drive Times'!$D$12:$I$51,MATCH(C21,'Drive Times'!$A$12:$A$51,0),MATCH(F21,'Drive Times'!$D$11:$I$11,0)))</f>
        <v>0.794946879478499</v>
      </c>
      <c r="L21" s="20" t="n">
        <f aca="false">IF(ISERROR(INDEX('Drive Times'!$D$12:$I$51,MATCH(C21,'Drive Times'!$A$12:$A$51,0),MATCH(G21,'Drive Times'!$D$11:$I$11,0))),"",INDEX('Drive Times'!$D$12:$I$51,MATCH(C21,'Drive Times'!$A$12:$A$51,0),MATCH(G21,'Drive Times'!$D$11:$I$11,0)))</f>
        <v>0.58213046879447</v>
      </c>
      <c r="M21" s="19" t="s">
        <v>199</v>
      </c>
      <c r="N21" s="19" t="n">
        <v>2</v>
      </c>
      <c r="O21" s="19" t="s">
        <v>200</v>
      </c>
      <c r="P21" s="28" t="s">
        <v>229</v>
      </c>
      <c r="Q21" s="19" t="s">
        <v>213</v>
      </c>
    </row>
    <row r="22" customFormat="false" ht="15" hidden="false" customHeight="false" outlineLevel="0" collapsed="false">
      <c r="A22" s="19" t="n">
        <v>6340</v>
      </c>
      <c r="B22" s="19" t="str">
        <f aca="false">INDEX(Strength!$B$2:$B$76,MATCH(A22,Strength!$A$2:$A$76,0))</f>
        <v>The Marist Manatees</v>
      </c>
      <c r="C22" s="19" t="str">
        <f aca="false">INDEX(Strength!$C$2:$C$76,MATCH(A22,Strength!$A$2:$A$76,0))</f>
        <v>Atlanta</v>
      </c>
      <c r="D22" s="20" t="n">
        <f aca="false">INDEX(Strength!$U$2:$U$76,MATCH(A22,Strength!$A$2:$A$76,0))</f>
        <v>45.4349816849817</v>
      </c>
      <c r="E22" s="19" t="n">
        <f aca="false">INDEX(Strength!$V$2:$V$76,MATCH(A22,Strength!$A$2:$A$76,0))</f>
        <v>21</v>
      </c>
      <c r="F22" s="27" t="s">
        <v>107</v>
      </c>
      <c r="G22" s="27" t="s">
        <v>108</v>
      </c>
      <c r="H22" s="19" t="n">
        <f aca="false">IF(ISERROR(INDEX('Events 2027'!$C$5:$C$9,MATCH(F22,'Events 2027'!$A$5:$A$9,0))),"",INDEX('Events 2027'!$C$5:$C$9,MATCH(F22,'Events 2027'!$A$5:$A$9,0)))</f>
        <v>2</v>
      </c>
      <c r="I22" s="19" t="n">
        <f aca="false">IF(ISERROR(INDEX('Events 2027'!$C$5:$C$9,MATCH(G22,'Events 2027'!$A$5:$A$9,0))),"",INDEX('Events 2027'!$C$5:$C$9,MATCH(G22,'Events 2027'!$A$5:$A$9,0)))</f>
        <v>3</v>
      </c>
      <c r="J22" s="26" t="n">
        <f aca="false">IF(ISERROR(ABS(I22-H22)),"",ABS(I22-H22))</f>
        <v>1</v>
      </c>
      <c r="K22" s="20" t="n">
        <f aca="false">IF(ISERROR(INDEX('Drive Times'!$D$12:$I$51,MATCH(C22,'Drive Times'!$A$12:$A$51,0),MATCH(F22,'Drive Times'!$D$11:$I$11,0))),"",INDEX('Drive Times'!$D$12:$I$51,MATCH(C22,'Drive Times'!$A$12:$A$51,0),MATCH(F22,'Drive Times'!$D$11:$I$11,0)))</f>
        <v>1.14049798600238</v>
      </c>
      <c r="L22" s="20" t="n">
        <f aca="false">IF(ISERROR(INDEX('Drive Times'!$D$12:$I$51,MATCH(C22,'Drive Times'!$A$12:$A$51,0),MATCH(G22,'Drive Times'!$D$11:$I$11,0))),"",INDEX('Drive Times'!$D$12:$I$51,MATCH(C22,'Drive Times'!$A$12:$A$51,0),MATCH(G22,'Drive Times'!$D$11:$I$11,0)))</f>
        <v>0.723013572465791</v>
      </c>
      <c r="M22" s="19" t="s">
        <v>199</v>
      </c>
      <c r="N22" s="19" t="n">
        <v>2</v>
      </c>
      <c r="O22" s="19" t="s">
        <v>207</v>
      </c>
      <c r="P22" s="28" t="s">
        <v>230</v>
      </c>
      <c r="Q22" s="19" t="s">
        <v>226</v>
      </c>
    </row>
    <row r="23" customFormat="false" ht="15" hidden="false" customHeight="false" outlineLevel="0" collapsed="false">
      <c r="A23" s="19" t="n">
        <v>6705</v>
      </c>
      <c r="B23" s="19" t="str">
        <f aca="false">INDEX(Strength!$B$2:$B$76,MATCH(A23,Strength!$A$2:$A$76,0))</f>
        <v>Wildcat5e</v>
      </c>
      <c r="C23" s="19" t="str">
        <f aca="false">INDEX(Strength!$C$2:$C$76,MATCH(A23,Strength!$A$2:$A$76,0))</f>
        <v>Dunwoody</v>
      </c>
      <c r="D23" s="20" t="n">
        <f aca="false">INDEX(Strength!$U$2:$U$76,MATCH(A23,Strength!$A$2:$A$76,0))</f>
        <v>44.5077838827839</v>
      </c>
      <c r="E23" s="19" t="n">
        <f aca="false">INDEX(Strength!$V$2:$V$76,MATCH(A23,Strength!$A$2:$A$76,0))</f>
        <v>22</v>
      </c>
      <c r="F23" s="27" t="s">
        <v>107</v>
      </c>
      <c r="G23" s="27" t="s">
        <v>108</v>
      </c>
      <c r="H23" s="19" t="n">
        <f aca="false">IF(ISERROR(INDEX('Events 2027'!$C$5:$C$9,MATCH(F23,'Events 2027'!$A$5:$A$9,0))),"",INDEX('Events 2027'!$C$5:$C$9,MATCH(F23,'Events 2027'!$A$5:$A$9,0)))</f>
        <v>2</v>
      </c>
      <c r="I23" s="19" t="n">
        <f aca="false">IF(ISERROR(INDEX('Events 2027'!$C$5:$C$9,MATCH(G23,'Events 2027'!$A$5:$A$9,0))),"",INDEX('Events 2027'!$C$5:$C$9,MATCH(G23,'Events 2027'!$A$5:$A$9,0)))</f>
        <v>3</v>
      </c>
      <c r="J23" s="26" t="n">
        <f aca="false">IF(ISERROR(ABS(I23-H23)),"",ABS(I23-H23))</f>
        <v>1</v>
      </c>
      <c r="K23" s="20" t="n">
        <f aca="false">IF(ISERROR(INDEX('Drive Times'!$D$12:$I$51,MATCH(C23,'Drive Times'!$A$12:$A$51,0),MATCH(F23,'Drive Times'!$D$11:$I$11,0))),"",INDEX('Drive Times'!$D$12:$I$51,MATCH(C23,'Drive Times'!$A$12:$A$51,0),MATCH(F23,'Drive Times'!$D$11:$I$11,0)))</f>
        <v>0.923475864269064</v>
      </c>
      <c r="L23" s="20" t="n">
        <f aca="false">IF(ISERROR(INDEX('Drive Times'!$D$12:$I$51,MATCH(C23,'Drive Times'!$A$12:$A$51,0),MATCH(G23,'Drive Times'!$D$11:$I$11,0))),"",INDEX('Drive Times'!$D$12:$I$51,MATCH(C23,'Drive Times'!$A$12:$A$51,0),MATCH(G23,'Drive Times'!$D$11:$I$11,0)))</f>
        <v>0.591020044050131</v>
      </c>
      <c r="M23" s="19" t="s">
        <v>199</v>
      </c>
      <c r="N23" s="19" t="n">
        <v>2</v>
      </c>
      <c r="O23" s="19" t="s">
        <v>207</v>
      </c>
      <c r="P23" s="28" t="s">
        <v>231</v>
      </c>
      <c r="Q23" s="19" t="s">
        <v>213</v>
      </c>
    </row>
    <row r="24" customFormat="false" ht="15" hidden="false" customHeight="false" outlineLevel="0" collapsed="false">
      <c r="A24" s="19" t="n">
        <v>6772</v>
      </c>
      <c r="B24" s="19" t="str">
        <f aca="false">INDEX(Strength!$B$2:$B$76,MATCH(A24,Strength!$A$2:$A$76,0))</f>
        <v>The Marist Manta Rays</v>
      </c>
      <c r="C24" s="19" t="str">
        <f aca="false">INDEX(Strength!$C$2:$C$76,MATCH(A24,Strength!$A$2:$A$76,0))</f>
        <v>Atlanta</v>
      </c>
      <c r="D24" s="20" t="n">
        <f aca="false">INDEX(Strength!$U$2:$U$76,MATCH(A24,Strength!$A$2:$A$76,0))</f>
        <v>43.9537545787546</v>
      </c>
      <c r="E24" s="19" t="n">
        <f aca="false">INDEX(Strength!$V$2:$V$76,MATCH(A24,Strength!$A$2:$A$76,0))</f>
        <v>23</v>
      </c>
      <c r="F24" s="27" t="s">
        <v>106</v>
      </c>
      <c r="G24" s="27" t="s">
        <v>111</v>
      </c>
      <c r="H24" s="19" t="n">
        <f aca="false">IF(ISERROR(INDEX('Events 2027'!$C$5:$C$9,MATCH(F24,'Events 2027'!$A$5:$A$9,0))),"",INDEX('Events 2027'!$C$5:$C$9,MATCH(F24,'Events 2027'!$A$5:$A$9,0)))</f>
        <v>1</v>
      </c>
      <c r="I24" s="19" t="n">
        <f aca="false">IF(ISERROR(INDEX('Events 2027'!$C$5:$C$9,MATCH(G24,'Events 2027'!$A$5:$A$9,0))),"",INDEX('Events 2027'!$C$5:$C$9,MATCH(G24,'Events 2027'!$A$5:$A$9,0)))</f>
        <v>5</v>
      </c>
      <c r="J24" s="26" t="n">
        <f aca="false">IF(ISERROR(ABS(I24-H24)),"",ABS(I24-H24))</f>
        <v>4</v>
      </c>
      <c r="K24" s="20" t="n">
        <f aca="false">IF(ISERROR(INDEX('Drive Times'!$D$12:$I$51,MATCH(C24,'Drive Times'!$A$12:$A$51,0),MATCH(F24,'Drive Times'!$D$11:$I$11,0))),"",INDEX('Drive Times'!$D$12:$I$51,MATCH(C24,'Drive Times'!$A$12:$A$51,0),MATCH(F24,'Drive Times'!$D$11:$I$11,0)))</f>
        <v>1.65670462748578</v>
      </c>
      <c r="L24" s="20" t="n">
        <f aca="false">IF(ISERROR(INDEX('Drive Times'!$D$12:$I$51,MATCH(C24,'Drive Times'!$A$12:$A$51,0),MATCH(G24,'Drive Times'!$D$11:$I$11,0))),"",INDEX('Drive Times'!$D$12:$I$51,MATCH(C24,'Drive Times'!$A$12:$A$51,0),MATCH(G24,'Drive Times'!$D$11:$I$11,0)))</f>
        <v>0.605353926696783</v>
      </c>
      <c r="M24" s="19" t="s">
        <v>214</v>
      </c>
      <c r="N24" s="19" t="n">
        <v>1</v>
      </c>
      <c r="O24" s="19" t="s">
        <v>204</v>
      </c>
      <c r="P24" s="28" t="s">
        <v>232</v>
      </c>
      <c r="Q24" s="19" t="s">
        <v>209</v>
      </c>
    </row>
    <row r="25" customFormat="false" ht="15" hidden="false" customHeight="false" outlineLevel="0" collapsed="false">
      <c r="A25" s="19" t="n">
        <v>1414</v>
      </c>
      <c r="B25" s="19" t="str">
        <f aca="false">INDEX(Strength!$B$2:$B$76,MATCH(A25,Strength!$A$2:$A$76,0))</f>
        <v>IHOT</v>
      </c>
      <c r="C25" s="19" t="str">
        <f aca="false">INDEX(Strength!$C$2:$C$76,MATCH(A25,Strength!$A$2:$A$76,0))</f>
        <v>Atlanta</v>
      </c>
      <c r="D25" s="20" t="n">
        <f aca="false">INDEX(Strength!$U$2:$U$76,MATCH(A25,Strength!$A$2:$A$76,0))</f>
        <v>42.3099816849817</v>
      </c>
      <c r="E25" s="19" t="n">
        <f aca="false">INDEX(Strength!$V$2:$V$76,MATCH(A25,Strength!$A$2:$A$76,0))</f>
        <v>24</v>
      </c>
      <c r="F25" s="27" t="s">
        <v>107</v>
      </c>
      <c r="G25" s="27" t="s">
        <v>111</v>
      </c>
      <c r="H25" s="19" t="n">
        <f aca="false">IF(ISERROR(INDEX('Events 2027'!$C$5:$C$9,MATCH(F25,'Events 2027'!$A$5:$A$9,0))),"",INDEX('Events 2027'!$C$5:$C$9,MATCH(F25,'Events 2027'!$A$5:$A$9,0)))</f>
        <v>2</v>
      </c>
      <c r="I25" s="19" t="n">
        <f aca="false">IF(ISERROR(INDEX('Events 2027'!$C$5:$C$9,MATCH(G25,'Events 2027'!$A$5:$A$9,0))),"",INDEX('Events 2027'!$C$5:$C$9,MATCH(G25,'Events 2027'!$A$5:$A$9,0)))</f>
        <v>5</v>
      </c>
      <c r="J25" s="26" t="n">
        <f aca="false">IF(ISERROR(ABS(I25-H25)),"",ABS(I25-H25))</f>
        <v>3</v>
      </c>
      <c r="K25" s="20" t="n">
        <f aca="false">IF(ISERROR(INDEX('Drive Times'!$D$12:$I$51,MATCH(C25,'Drive Times'!$A$12:$A$51,0),MATCH(F25,'Drive Times'!$D$11:$I$11,0))),"",INDEX('Drive Times'!$D$12:$I$51,MATCH(C25,'Drive Times'!$A$12:$A$51,0),MATCH(F25,'Drive Times'!$D$11:$I$11,0)))</f>
        <v>1.14049798600238</v>
      </c>
      <c r="L25" s="20" t="n">
        <f aca="false">IF(ISERROR(INDEX('Drive Times'!$D$12:$I$51,MATCH(C25,'Drive Times'!$A$12:$A$51,0),MATCH(G25,'Drive Times'!$D$11:$I$11,0))),"",INDEX('Drive Times'!$D$12:$I$51,MATCH(C25,'Drive Times'!$A$12:$A$51,0),MATCH(G25,'Drive Times'!$D$11:$I$11,0)))</f>
        <v>0.605353926696783</v>
      </c>
      <c r="M25" s="19" t="s">
        <v>233</v>
      </c>
      <c r="N25" s="19" t="n">
        <v>1</v>
      </c>
      <c r="O25" s="19" t="s">
        <v>207</v>
      </c>
      <c r="P25" s="28" t="s">
        <v>234</v>
      </c>
      <c r="Q25" s="19" t="s">
        <v>235</v>
      </c>
    </row>
    <row r="26" customFormat="false" ht="15" hidden="false" customHeight="false" outlineLevel="0" collapsed="false">
      <c r="A26" s="19" t="n">
        <v>6925</v>
      </c>
      <c r="B26" s="19" t="str">
        <f aca="false">INDEX(Strength!$B$2:$B$76,MATCH(A26,Strength!$A$2:$A$76,0))</f>
        <v>W.A.Robotics</v>
      </c>
      <c r="C26" s="19" t="str">
        <f aca="false">INDEX(Strength!$C$2:$C$76,MATCH(A26,Strength!$A$2:$A$76,0))</f>
        <v>College Park</v>
      </c>
      <c r="D26" s="20" t="n">
        <f aca="false">INDEX(Strength!$U$2:$U$76,MATCH(A26,Strength!$A$2:$A$76,0))</f>
        <v>39.720695970696</v>
      </c>
      <c r="E26" s="19" t="n">
        <f aca="false">INDEX(Strength!$V$2:$V$76,MATCH(A26,Strength!$A$2:$A$76,0))</f>
        <v>25</v>
      </c>
      <c r="F26" s="27" t="s">
        <v>110</v>
      </c>
      <c r="G26" s="27" t="s">
        <v>111</v>
      </c>
      <c r="H26" s="19" t="n">
        <f aca="false">IF(ISERROR(INDEX('Events 2027'!$C$5:$C$9,MATCH(F26,'Events 2027'!$A$5:$A$9,0))),"",INDEX('Events 2027'!$C$5:$C$9,MATCH(F26,'Events 2027'!$A$5:$A$9,0)))</f>
        <v>4</v>
      </c>
      <c r="I26" s="19" t="n">
        <f aca="false">IF(ISERROR(INDEX('Events 2027'!$C$5:$C$9,MATCH(G26,'Events 2027'!$A$5:$A$9,0))),"",INDEX('Events 2027'!$C$5:$C$9,MATCH(G26,'Events 2027'!$A$5:$A$9,0)))</f>
        <v>5</v>
      </c>
      <c r="J26" s="26" t="n">
        <f aca="false">IF(ISERROR(ABS(I26-H26)),"",ABS(I26-H26))</f>
        <v>1</v>
      </c>
      <c r="K26" s="20" t="n">
        <f aca="false">IF(ISERROR(INDEX('Drive Times'!$D$12:$I$51,MATCH(C26,'Drive Times'!$A$12:$A$51,0),MATCH(F26,'Drive Times'!$D$11:$I$11,0))),"",INDEX('Drive Times'!$D$12:$I$51,MATCH(C26,'Drive Times'!$A$12:$A$51,0),MATCH(F26,'Drive Times'!$D$11:$I$11,0)))</f>
        <v>2.87379475129968</v>
      </c>
      <c r="L26" s="20" t="n">
        <f aca="false">IF(ISERROR(INDEX('Drive Times'!$D$12:$I$51,MATCH(C26,'Drive Times'!$A$12:$A$51,0),MATCH(G26,'Drive Times'!$D$11:$I$11,0))),"",INDEX('Drive Times'!$D$12:$I$51,MATCH(C26,'Drive Times'!$A$12:$A$51,0),MATCH(G26,'Drive Times'!$D$11:$I$11,0)))</f>
        <v>0.564926078343514</v>
      </c>
      <c r="M26" s="19" t="s">
        <v>203</v>
      </c>
      <c r="N26" s="19" t="n">
        <v>1</v>
      </c>
      <c r="O26" s="19" t="s">
        <v>204</v>
      </c>
      <c r="P26" s="28" t="s">
        <v>236</v>
      </c>
      <c r="Q26" s="19" t="s">
        <v>206</v>
      </c>
    </row>
    <row r="27" customFormat="false" ht="15" hidden="false" customHeight="false" outlineLevel="0" collapsed="false">
      <c r="A27" s="19" t="n">
        <v>3329</v>
      </c>
      <c r="B27" s="19" t="str">
        <f aca="false">INDEX(Strength!$B$2:$B$76,MATCH(A27,Strength!$A$2:$A$76,0))</f>
        <v>Wildbots</v>
      </c>
      <c r="C27" s="19" t="str">
        <f aca="false">INDEX(Strength!$C$2:$C$76,MATCH(A27,Strength!$A$2:$A$76,0))</f>
        <v>Kingsland</v>
      </c>
      <c r="D27" s="20" t="n">
        <f aca="false">INDEX(Strength!$U$2:$U$76,MATCH(A27,Strength!$A$2:$A$76,0))</f>
        <v>39.720695970696</v>
      </c>
      <c r="E27" s="19" t="n">
        <f aca="false">INDEX(Strength!$V$2:$V$76,MATCH(A27,Strength!$A$2:$A$76,0))</f>
        <v>26</v>
      </c>
      <c r="F27" s="27" t="s">
        <v>106</v>
      </c>
      <c r="G27" s="27" t="s">
        <v>110</v>
      </c>
      <c r="H27" s="19" t="n">
        <f aca="false">IF(ISERROR(INDEX('Events 2027'!$C$5:$C$9,MATCH(F27,'Events 2027'!$A$5:$A$9,0))),"",INDEX('Events 2027'!$C$5:$C$9,MATCH(F27,'Events 2027'!$A$5:$A$9,0)))</f>
        <v>1</v>
      </c>
      <c r="I27" s="19" t="n">
        <f aca="false">IF(ISERROR(INDEX('Events 2027'!$C$5:$C$9,MATCH(G27,'Events 2027'!$A$5:$A$9,0))),"",INDEX('Events 2027'!$C$5:$C$9,MATCH(G27,'Events 2027'!$A$5:$A$9,0)))</f>
        <v>4</v>
      </c>
      <c r="J27" s="26" t="n">
        <f aca="false">IF(ISERROR(ABS(I27-H27)),"",ABS(I27-H27))</f>
        <v>3</v>
      </c>
      <c r="K27" s="20" t="n">
        <f aca="false">IF(ISERROR(INDEX('Drive Times'!$D$12:$I$51,MATCH(C27,'Drive Times'!$A$12:$A$51,0),MATCH(F27,'Drive Times'!$D$11:$I$11,0))),"",INDEX('Drive Times'!$D$12:$I$51,MATCH(C27,'Drive Times'!$A$12:$A$51,0),MATCH(F27,'Drive Times'!$D$11:$I$11,0)))</f>
        <v>6.34820460522021</v>
      </c>
      <c r="L27" s="20" t="n">
        <f aca="false">IF(ISERROR(INDEX('Drive Times'!$D$12:$I$51,MATCH(C27,'Drive Times'!$A$12:$A$51,0),MATCH(G27,'Drive Times'!$D$11:$I$11,0))),"",INDEX('Drive Times'!$D$12:$I$51,MATCH(C27,'Drive Times'!$A$12:$A$51,0),MATCH(G27,'Drive Times'!$D$11:$I$11,0)))</f>
        <v>3.07487381145879</v>
      </c>
      <c r="M27" s="19" t="s">
        <v>214</v>
      </c>
      <c r="N27" s="19" t="n">
        <v>2</v>
      </c>
      <c r="O27" s="19" t="s">
        <v>200</v>
      </c>
      <c r="P27" s="28" t="s">
        <v>237</v>
      </c>
      <c r="Q27" s="19" t="s">
        <v>206</v>
      </c>
    </row>
    <row r="28" customFormat="false" ht="15" hidden="false" customHeight="false" outlineLevel="0" collapsed="false">
      <c r="A28" s="19" t="n">
        <v>8736</v>
      </c>
      <c r="B28" s="19" t="str">
        <f aca="false">INDEX(Strength!$B$2:$B$76,MATCH(A28,Strength!$A$2:$A$76,0))</f>
        <v>The Mechanisms</v>
      </c>
      <c r="C28" s="19" t="str">
        <f aca="false">INDEX(Strength!$C$2:$C$76,MATCH(A28,Strength!$A$2:$A$76,0))</f>
        <v>Marietta</v>
      </c>
      <c r="D28" s="20" t="n">
        <f aca="false">INDEX(Strength!$U$2:$U$76,MATCH(A28,Strength!$A$2:$A$76,0))</f>
        <v>39.5581501831502</v>
      </c>
      <c r="E28" s="19" t="n">
        <f aca="false">INDEX(Strength!$V$2:$V$76,MATCH(A28,Strength!$A$2:$A$76,0))</f>
        <v>27</v>
      </c>
      <c r="F28" s="27" t="s">
        <v>106</v>
      </c>
      <c r="G28" s="27" t="s">
        <v>110</v>
      </c>
      <c r="H28" s="19" t="n">
        <f aca="false">IF(ISERROR(INDEX('Events 2027'!$C$5:$C$9,MATCH(F28,'Events 2027'!$A$5:$A$9,0))),"",INDEX('Events 2027'!$C$5:$C$9,MATCH(F28,'Events 2027'!$A$5:$A$9,0)))</f>
        <v>1</v>
      </c>
      <c r="I28" s="19" t="n">
        <f aca="false">IF(ISERROR(INDEX('Events 2027'!$C$5:$C$9,MATCH(G28,'Events 2027'!$A$5:$A$9,0))),"",INDEX('Events 2027'!$C$5:$C$9,MATCH(G28,'Events 2027'!$A$5:$A$9,0)))</f>
        <v>4</v>
      </c>
      <c r="J28" s="26" t="n">
        <f aca="false">IF(ISERROR(ABS(I28-H28)),"",ABS(I28-H28))</f>
        <v>3</v>
      </c>
      <c r="K28" s="20" t="n">
        <f aca="false">IF(ISERROR(INDEX('Drive Times'!$D$12:$I$51,MATCH(C28,'Drive Times'!$A$12:$A$51,0),MATCH(F28,'Drive Times'!$D$11:$I$11,0))),"",INDEX('Drive Times'!$D$12:$I$51,MATCH(C28,'Drive Times'!$A$12:$A$51,0),MATCH(F28,'Drive Times'!$D$11:$I$11,0)))</f>
        <v>1.35133796113295</v>
      </c>
      <c r="L28" s="20" t="n">
        <f aca="false">IF(ISERROR(INDEX('Drive Times'!$D$12:$I$51,MATCH(C28,'Drive Times'!$A$12:$A$51,0),MATCH(G28,'Drive Times'!$D$11:$I$11,0))),"",INDEX('Drive Times'!$D$12:$I$51,MATCH(C28,'Drive Times'!$A$12:$A$51,0),MATCH(G28,'Drive Times'!$D$11:$I$11,0)))</f>
        <v>3.26434201766974</v>
      </c>
      <c r="M28" s="19" t="s">
        <v>138</v>
      </c>
      <c r="N28" s="19" t="n">
        <v>2</v>
      </c>
      <c r="O28" s="19" t="s">
        <v>204</v>
      </c>
      <c r="P28" s="28" t="s">
        <v>238</v>
      </c>
      <c r="Q28" s="19" t="s">
        <v>209</v>
      </c>
    </row>
    <row r="29" customFormat="false" ht="15" hidden="false" customHeight="false" outlineLevel="0" collapsed="false">
      <c r="A29" s="19" t="n">
        <v>3091</v>
      </c>
      <c r="B29" s="19" t="str">
        <f aca="false">INDEX(Strength!$B$2:$B$76,MATCH(A29,Strength!$A$2:$A$76,0))</f>
        <v>100 Scholars</v>
      </c>
      <c r="C29" s="19" t="str">
        <f aca="false">INDEX(Strength!$C$2:$C$76,MATCH(A29,Strength!$A$2:$A$76,0))</f>
        <v>Atlanta</v>
      </c>
      <c r="D29" s="20" t="n">
        <f aca="false">INDEX(Strength!$U$2:$U$76,MATCH(A29,Strength!$A$2:$A$76,0))</f>
        <v>38.6663336663337</v>
      </c>
      <c r="E29" s="19" t="n">
        <f aca="false">INDEX(Strength!$V$2:$V$76,MATCH(A29,Strength!$A$2:$A$76,0))</f>
        <v>28</v>
      </c>
      <c r="F29" s="27" t="s">
        <v>110</v>
      </c>
      <c r="G29" s="27" t="s">
        <v>111</v>
      </c>
      <c r="H29" s="19" t="n">
        <f aca="false">IF(ISERROR(INDEX('Events 2027'!$C$5:$C$9,MATCH(F29,'Events 2027'!$A$5:$A$9,0))),"",INDEX('Events 2027'!$C$5:$C$9,MATCH(F29,'Events 2027'!$A$5:$A$9,0)))</f>
        <v>4</v>
      </c>
      <c r="I29" s="19" t="n">
        <f aca="false">IF(ISERROR(INDEX('Events 2027'!$C$5:$C$9,MATCH(G29,'Events 2027'!$A$5:$A$9,0))),"",INDEX('Events 2027'!$C$5:$C$9,MATCH(G29,'Events 2027'!$A$5:$A$9,0)))</f>
        <v>5</v>
      </c>
      <c r="J29" s="26" t="n">
        <f aca="false">IF(ISERROR(ABS(I29-H29)),"",ABS(I29-H29))</f>
        <v>1</v>
      </c>
      <c r="K29" s="20" t="n">
        <f aca="false">IF(ISERROR(INDEX('Drive Times'!$D$12:$I$51,MATCH(C29,'Drive Times'!$A$12:$A$51,0),MATCH(F29,'Drive Times'!$D$11:$I$11,0))),"",INDEX('Drive Times'!$D$12:$I$51,MATCH(C29,'Drive Times'!$A$12:$A$51,0),MATCH(F29,'Drive Times'!$D$11:$I$11,0)))</f>
        <v>2.98796135280908</v>
      </c>
      <c r="L29" s="20" t="n">
        <f aca="false">IF(ISERROR(INDEX('Drive Times'!$D$12:$I$51,MATCH(C29,'Drive Times'!$A$12:$A$51,0),MATCH(G29,'Drive Times'!$D$11:$I$11,0))),"",INDEX('Drive Times'!$D$12:$I$51,MATCH(C29,'Drive Times'!$A$12:$A$51,0),MATCH(G29,'Drive Times'!$D$11:$I$11,0)))</f>
        <v>0.605353926696783</v>
      </c>
      <c r="M29" s="19" t="s">
        <v>211</v>
      </c>
      <c r="N29" s="19" t="n">
        <v>1</v>
      </c>
      <c r="O29" s="19" t="s">
        <v>204</v>
      </c>
      <c r="P29" s="28" t="s">
        <v>239</v>
      </c>
      <c r="Q29" s="19" t="s">
        <v>213</v>
      </c>
    </row>
    <row r="30" customFormat="false" ht="15" hidden="false" customHeight="false" outlineLevel="0" collapsed="false">
      <c r="A30" s="19" t="n">
        <v>1746</v>
      </c>
      <c r="B30" s="19" t="str">
        <f aca="false">INDEX(Strength!$B$2:$B$76,MATCH(A30,Strength!$A$2:$A$76,0))</f>
        <v>Team OTTO</v>
      </c>
      <c r="C30" s="19" t="str">
        <f aca="false">INDEX(Strength!$C$2:$C$76,MATCH(A30,Strength!$A$2:$A$76,0))</f>
        <v>Cumming</v>
      </c>
      <c r="D30" s="20" t="n">
        <f aca="false">INDEX(Strength!$U$2:$U$76,MATCH(A30,Strength!$A$2:$A$76,0))</f>
        <v>37.5228937728938</v>
      </c>
      <c r="E30" s="19" t="n">
        <f aca="false">INDEX(Strength!$V$2:$V$76,MATCH(A30,Strength!$A$2:$A$76,0))</f>
        <v>29</v>
      </c>
      <c r="F30" s="27" t="s">
        <v>106</v>
      </c>
      <c r="G30" s="27" t="s">
        <v>107</v>
      </c>
      <c r="H30" s="19" t="n">
        <f aca="false">IF(ISERROR(INDEX('Events 2027'!$C$5:$C$9,MATCH(F30,'Events 2027'!$A$5:$A$9,0))),"",INDEX('Events 2027'!$C$5:$C$9,MATCH(F30,'Events 2027'!$A$5:$A$9,0)))</f>
        <v>1</v>
      </c>
      <c r="I30" s="19" t="n">
        <f aca="false">IF(ISERROR(INDEX('Events 2027'!$C$5:$C$9,MATCH(G30,'Events 2027'!$A$5:$A$9,0))),"",INDEX('Events 2027'!$C$5:$C$9,MATCH(G30,'Events 2027'!$A$5:$A$9,0)))</f>
        <v>2</v>
      </c>
      <c r="J30" s="26" t="n">
        <f aca="false">IF(ISERROR(ABS(I30-H30)),"",ABS(I30-H30))</f>
        <v>1</v>
      </c>
      <c r="K30" s="20" t="n">
        <f aca="false">IF(ISERROR(INDEX('Drive Times'!$D$12:$I$51,MATCH(C30,'Drive Times'!$A$12:$A$51,0),MATCH(F30,'Drive Times'!$D$11:$I$11,0))),"",INDEX('Drive Times'!$D$12:$I$51,MATCH(C30,'Drive Times'!$A$12:$A$51,0),MATCH(F30,'Drive Times'!$D$11:$I$11,0)))</f>
        <v>1.34940019448378</v>
      </c>
      <c r="L30" s="20" t="n">
        <f aca="false">IF(ISERROR(INDEX('Drive Times'!$D$12:$I$51,MATCH(C30,'Drive Times'!$A$12:$A$51,0),MATCH(G30,'Drive Times'!$D$11:$I$11,0))),"",INDEX('Drive Times'!$D$12:$I$51,MATCH(C30,'Drive Times'!$A$12:$A$51,0),MATCH(G30,'Drive Times'!$D$11:$I$11,0)))</f>
        <v>0.577603222242459</v>
      </c>
      <c r="M30" s="19" t="s">
        <v>240</v>
      </c>
      <c r="N30" s="19" t="n">
        <v>2</v>
      </c>
      <c r="O30" s="19" t="s">
        <v>207</v>
      </c>
      <c r="P30" s="28" t="s">
        <v>241</v>
      </c>
      <c r="Q30" s="19" t="s">
        <v>202</v>
      </c>
    </row>
    <row r="31" customFormat="false" ht="15" hidden="false" customHeight="false" outlineLevel="0" collapsed="false">
      <c r="A31" s="19" t="n">
        <v>6023</v>
      </c>
      <c r="B31" s="19" t="str">
        <f aca="false">INDEX(Strength!$B$2:$B$76,MATCH(A31,Strength!$A$2:$A$76,0))</f>
        <v>DISCBOTS</v>
      </c>
      <c r="C31" s="19" t="str">
        <f aca="false">INDEX(Strength!$C$2:$C$76,MATCH(A31,Strength!$A$2:$A$76,0))</f>
        <v>Atlanta</v>
      </c>
      <c r="D31" s="20" t="n">
        <f aca="false">INDEX(Strength!$U$2:$U$76,MATCH(A31,Strength!$A$2:$A$76,0))</f>
        <v>37.3476523476524</v>
      </c>
      <c r="E31" s="19" t="n">
        <f aca="false">INDEX(Strength!$V$2:$V$76,MATCH(A31,Strength!$A$2:$A$76,0))</f>
        <v>30</v>
      </c>
      <c r="F31" s="27" t="s">
        <v>106</v>
      </c>
      <c r="G31" s="27" t="s">
        <v>110</v>
      </c>
      <c r="H31" s="19" t="n">
        <f aca="false">IF(ISERROR(INDEX('Events 2027'!$C$5:$C$9,MATCH(F31,'Events 2027'!$A$5:$A$9,0))),"",INDEX('Events 2027'!$C$5:$C$9,MATCH(F31,'Events 2027'!$A$5:$A$9,0)))</f>
        <v>1</v>
      </c>
      <c r="I31" s="19" t="n">
        <f aca="false">IF(ISERROR(INDEX('Events 2027'!$C$5:$C$9,MATCH(G31,'Events 2027'!$A$5:$A$9,0))),"",INDEX('Events 2027'!$C$5:$C$9,MATCH(G31,'Events 2027'!$A$5:$A$9,0)))</f>
        <v>4</v>
      </c>
      <c r="J31" s="26" t="n">
        <f aca="false">IF(ISERROR(ABS(I31-H31)),"",ABS(I31-H31))</f>
        <v>3</v>
      </c>
      <c r="K31" s="20" t="n">
        <f aca="false">IF(ISERROR(INDEX('Drive Times'!$D$12:$I$51,MATCH(C31,'Drive Times'!$A$12:$A$51,0),MATCH(F31,'Drive Times'!$D$11:$I$11,0))),"",INDEX('Drive Times'!$D$12:$I$51,MATCH(C31,'Drive Times'!$A$12:$A$51,0),MATCH(F31,'Drive Times'!$D$11:$I$11,0)))</f>
        <v>1.65670462748578</v>
      </c>
      <c r="L31" s="20" t="n">
        <f aca="false">IF(ISERROR(INDEX('Drive Times'!$D$12:$I$51,MATCH(C31,'Drive Times'!$A$12:$A$51,0),MATCH(G31,'Drive Times'!$D$11:$I$11,0))),"",INDEX('Drive Times'!$D$12:$I$51,MATCH(C31,'Drive Times'!$A$12:$A$51,0),MATCH(G31,'Drive Times'!$D$11:$I$11,0)))</f>
        <v>2.98796135280908</v>
      </c>
      <c r="M31" s="19" t="s">
        <v>138</v>
      </c>
      <c r="N31" s="19" t="n">
        <v>2</v>
      </c>
      <c r="O31" s="19" t="s">
        <v>200</v>
      </c>
      <c r="P31" s="28" t="s">
        <v>242</v>
      </c>
      <c r="Q31" s="19" t="s">
        <v>209</v>
      </c>
    </row>
    <row r="32" customFormat="false" ht="15" hidden="false" customHeight="false" outlineLevel="0" collapsed="false">
      <c r="A32" s="19" t="n">
        <v>10482</v>
      </c>
      <c r="B32" s="19" t="str">
        <f aca="false">INDEX(Strength!$B$2:$B$76,MATCH(A32,Strength!$A$2:$A$76,0))</f>
        <v>BuzzBots</v>
      </c>
      <c r="C32" s="19" t="str">
        <f aca="false">INDEX(Strength!$C$2:$C$76,MATCH(A32,Strength!$A$2:$A$76,0))</f>
        <v>Athens</v>
      </c>
      <c r="D32" s="20" t="n">
        <f aca="false">INDEX(Strength!$U$2:$U$76,MATCH(A32,Strength!$A$2:$A$76,0))</f>
        <v>35.831342570473</v>
      </c>
      <c r="E32" s="19" t="n">
        <f aca="false">INDEX(Strength!$V$2:$V$76,MATCH(A32,Strength!$A$2:$A$76,0))</f>
        <v>31</v>
      </c>
      <c r="F32" s="27" t="s">
        <v>107</v>
      </c>
      <c r="G32" s="27" t="s">
        <v>108</v>
      </c>
      <c r="H32" s="19" t="n">
        <f aca="false">IF(ISERROR(INDEX('Events 2027'!$C$5:$C$9,MATCH(F32,'Events 2027'!$A$5:$A$9,0))),"",INDEX('Events 2027'!$C$5:$C$9,MATCH(F32,'Events 2027'!$A$5:$A$9,0)))</f>
        <v>2</v>
      </c>
      <c r="I32" s="19" t="n">
        <f aca="false">IF(ISERROR(INDEX('Events 2027'!$C$5:$C$9,MATCH(G32,'Events 2027'!$A$5:$A$9,0))),"",INDEX('Events 2027'!$C$5:$C$9,MATCH(G32,'Events 2027'!$A$5:$A$9,0)))</f>
        <v>3</v>
      </c>
      <c r="J32" s="26" t="n">
        <f aca="false">IF(ISERROR(ABS(I32-H32)),"",ABS(I32-H32))</f>
        <v>1</v>
      </c>
      <c r="K32" s="20" t="n">
        <f aca="false">IF(ISERROR(INDEX('Drive Times'!$D$12:$I$51,MATCH(C32,'Drive Times'!$A$12:$A$51,0),MATCH(F32,'Drive Times'!$D$11:$I$11,0))),"",INDEX('Drive Times'!$D$12:$I$51,MATCH(C32,'Drive Times'!$A$12:$A$51,0),MATCH(F32,'Drive Times'!$D$11:$I$11,0)))</f>
        <v>0.860377945640518</v>
      </c>
      <c r="L32" s="20" t="n">
        <f aca="false">IF(ISERROR(INDEX('Drive Times'!$D$12:$I$51,MATCH(C32,'Drive Times'!$A$12:$A$51,0),MATCH(G32,'Drive Times'!$D$11:$I$11,0))),"",INDEX('Drive Times'!$D$12:$I$51,MATCH(C32,'Drive Times'!$A$12:$A$51,0),MATCH(G32,'Drive Times'!$D$11:$I$11,0)))</f>
        <v>0.86812584419797</v>
      </c>
      <c r="M32" s="19" t="s">
        <v>199</v>
      </c>
      <c r="N32" s="19" t="n">
        <v>2</v>
      </c>
      <c r="O32" s="19" t="s">
        <v>200</v>
      </c>
      <c r="P32" s="28" t="s">
        <v>243</v>
      </c>
      <c r="Q32" s="19" t="s">
        <v>213</v>
      </c>
    </row>
    <row r="33" customFormat="false" ht="15" hidden="false" customHeight="false" outlineLevel="0" collapsed="false">
      <c r="A33" s="19" t="n">
        <v>9480</v>
      </c>
      <c r="B33" s="19" t="str">
        <f aca="false">INDEX(Strength!$B$2:$B$76,MATCH(A33,Strength!$A$2:$A$76,0))</f>
        <v>The Gear Bears</v>
      </c>
      <c r="C33" s="19" t="str">
        <f aca="false">INDEX(Strength!$C$2:$C$76,MATCH(A33,Strength!$A$2:$A$76,0))</f>
        <v>Flowery Branch</v>
      </c>
      <c r="D33" s="20" t="n">
        <f aca="false">INDEX(Strength!$U$2:$U$76,MATCH(A33,Strength!$A$2:$A$76,0))</f>
        <v>35.4876373626374</v>
      </c>
      <c r="E33" s="19" t="n">
        <f aca="false">INDEX(Strength!$V$2:$V$76,MATCH(A33,Strength!$A$2:$A$76,0))</f>
        <v>32</v>
      </c>
      <c r="F33" s="27" t="s">
        <v>106</v>
      </c>
      <c r="G33" s="27" t="s">
        <v>108</v>
      </c>
      <c r="H33" s="19" t="n">
        <f aca="false">IF(ISERROR(INDEX('Events 2027'!$C$5:$C$9,MATCH(F33,'Events 2027'!$A$5:$A$9,0))),"",INDEX('Events 2027'!$C$5:$C$9,MATCH(F33,'Events 2027'!$A$5:$A$9,0)))</f>
        <v>1</v>
      </c>
      <c r="I33" s="19" t="n">
        <f aca="false">IF(ISERROR(INDEX('Events 2027'!$C$5:$C$9,MATCH(G33,'Events 2027'!$A$5:$A$9,0))),"",INDEX('Events 2027'!$C$5:$C$9,MATCH(G33,'Events 2027'!$A$5:$A$9,0)))</f>
        <v>3</v>
      </c>
      <c r="J33" s="26" t="n">
        <f aca="false">IF(ISERROR(ABS(I33-H33)),"",ABS(I33-H33))</f>
        <v>2</v>
      </c>
      <c r="K33" s="20" t="n">
        <f aca="false">IF(ISERROR(INDEX('Drive Times'!$D$12:$I$51,MATCH(C33,'Drive Times'!$A$12:$A$51,0),MATCH(F33,'Drive Times'!$D$11:$I$11,0))),"",INDEX('Drive Times'!$D$12:$I$51,MATCH(C33,'Drive Times'!$A$12:$A$51,0),MATCH(F33,'Drive Times'!$D$11:$I$11,0)))</f>
        <v>1.54609084317722</v>
      </c>
      <c r="L33" s="20" t="n">
        <f aca="false">IF(ISERROR(INDEX('Drive Times'!$D$12:$I$51,MATCH(C33,'Drive Times'!$A$12:$A$51,0),MATCH(G33,'Drive Times'!$D$11:$I$11,0))),"",INDEX('Drive Times'!$D$12:$I$51,MATCH(C33,'Drive Times'!$A$12:$A$51,0),MATCH(G33,'Drive Times'!$D$11:$I$11,0)))</f>
        <v>0.524762837773509</v>
      </c>
      <c r="M33" s="19" t="s">
        <v>214</v>
      </c>
      <c r="N33" s="19" t="n">
        <v>1</v>
      </c>
      <c r="O33" s="19" t="s">
        <v>204</v>
      </c>
      <c r="P33" s="28" t="s">
        <v>244</v>
      </c>
      <c r="Q33" s="19" t="s">
        <v>226</v>
      </c>
    </row>
    <row r="34" customFormat="false" ht="15" hidden="false" customHeight="false" outlineLevel="0" collapsed="false">
      <c r="A34" s="19" t="n">
        <v>3344</v>
      </c>
      <c r="B34" s="19" t="str">
        <f aca="false">INDEX(Strength!$B$2:$B$76,MATCH(A34,Strength!$A$2:$A$76,0))</f>
        <v>Space Dragons</v>
      </c>
      <c r="C34" s="19" t="str">
        <f aca="false">INDEX(Strength!$C$2:$C$76,MATCH(A34,Strength!$A$2:$A$76,0))</f>
        <v>Fayetteville</v>
      </c>
      <c r="D34" s="20" t="n">
        <f aca="false">INDEX(Strength!$U$2:$U$76,MATCH(A34,Strength!$A$2:$A$76,0))</f>
        <v>35.2289377289377</v>
      </c>
      <c r="E34" s="19" t="n">
        <f aca="false">INDEX(Strength!$V$2:$V$76,MATCH(A34,Strength!$A$2:$A$76,0))</f>
        <v>33</v>
      </c>
      <c r="F34" s="27" t="s">
        <v>107</v>
      </c>
      <c r="G34" s="27" t="s">
        <v>111</v>
      </c>
      <c r="H34" s="19" t="n">
        <f aca="false">IF(ISERROR(INDEX('Events 2027'!$C$5:$C$9,MATCH(F34,'Events 2027'!$A$5:$A$9,0))),"",INDEX('Events 2027'!$C$5:$C$9,MATCH(F34,'Events 2027'!$A$5:$A$9,0)))</f>
        <v>2</v>
      </c>
      <c r="I34" s="19" t="n">
        <f aca="false">IF(ISERROR(INDEX('Events 2027'!$C$5:$C$9,MATCH(G34,'Events 2027'!$A$5:$A$9,0))),"",INDEX('Events 2027'!$C$5:$C$9,MATCH(G34,'Events 2027'!$A$5:$A$9,0)))</f>
        <v>5</v>
      </c>
      <c r="J34" s="26" t="n">
        <f aca="false">IF(ISERROR(ABS(I34-H34)),"",ABS(I34-H34))</f>
        <v>3</v>
      </c>
      <c r="K34" s="20" t="n">
        <f aca="false">IF(ISERROR(INDEX('Drive Times'!$D$12:$I$51,MATCH(C34,'Drive Times'!$A$12:$A$51,0),MATCH(F34,'Drive Times'!$D$11:$I$11,0))),"",INDEX('Drive Times'!$D$12:$I$51,MATCH(C34,'Drive Times'!$A$12:$A$51,0),MATCH(F34,'Drive Times'!$D$11:$I$11,0)))</f>
        <v>1.4907896120049</v>
      </c>
      <c r="L34" s="20" t="n">
        <f aca="false">IF(ISERROR(INDEX('Drive Times'!$D$12:$I$51,MATCH(C34,'Drive Times'!$A$12:$A$51,0),MATCH(G34,'Drive Times'!$D$11:$I$11,0))),"",INDEX('Drive Times'!$D$12:$I$51,MATCH(C34,'Drive Times'!$A$12:$A$51,0),MATCH(G34,'Drive Times'!$D$11:$I$11,0)))</f>
        <v>0.718393374273796</v>
      </c>
      <c r="M34" s="19" t="s">
        <v>233</v>
      </c>
      <c r="N34" s="19" t="n">
        <v>1</v>
      </c>
      <c r="O34" s="19" t="s">
        <v>207</v>
      </c>
      <c r="P34" s="28" t="s">
        <v>245</v>
      </c>
      <c r="Q34" s="19" t="s">
        <v>235</v>
      </c>
    </row>
    <row r="35" customFormat="false" ht="15" hidden="false" customHeight="false" outlineLevel="0" collapsed="false">
      <c r="A35" s="19" t="n">
        <v>5219</v>
      </c>
      <c r="B35" s="19" t="str">
        <f aca="false">INDEX(Strength!$B$2:$B$76,MATCH(A35,Strength!$A$2:$A$76,0))</f>
        <v>TeknoSquad 5219</v>
      </c>
      <c r="C35" s="19" t="str">
        <f aca="false">INDEX(Strength!$C$2:$C$76,MATCH(A35,Strength!$A$2:$A$76,0))</f>
        <v>Douglasville</v>
      </c>
      <c r="D35" s="20" t="n">
        <f aca="false">INDEX(Strength!$U$2:$U$76,MATCH(A35,Strength!$A$2:$A$76,0))</f>
        <v>35.2106227106227</v>
      </c>
      <c r="E35" s="19" t="n">
        <f aca="false">INDEX(Strength!$V$2:$V$76,MATCH(A35,Strength!$A$2:$A$76,0))</f>
        <v>34</v>
      </c>
      <c r="F35" s="27" t="s">
        <v>106</v>
      </c>
      <c r="G35" s="27" t="s">
        <v>111</v>
      </c>
      <c r="H35" s="19" t="n">
        <f aca="false">IF(ISERROR(INDEX('Events 2027'!$C$5:$C$9,MATCH(F35,'Events 2027'!$A$5:$A$9,0))),"",INDEX('Events 2027'!$C$5:$C$9,MATCH(F35,'Events 2027'!$A$5:$A$9,0)))</f>
        <v>1</v>
      </c>
      <c r="I35" s="19" t="n">
        <f aca="false">IF(ISERROR(INDEX('Events 2027'!$C$5:$C$9,MATCH(G35,'Events 2027'!$A$5:$A$9,0))),"",INDEX('Events 2027'!$C$5:$C$9,MATCH(G35,'Events 2027'!$A$5:$A$9,0)))</f>
        <v>5</v>
      </c>
      <c r="J35" s="26" t="n">
        <f aca="false">IF(ISERROR(ABS(I35-H35)),"",ABS(I35-H35))</f>
        <v>4</v>
      </c>
      <c r="K35" s="20" t="n">
        <f aca="false">IF(ISERROR(INDEX('Drive Times'!$D$12:$I$51,MATCH(C35,'Drive Times'!$A$12:$A$51,0),MATCH(F35,'Drive Times'!$D$11:$I$11,0))),"",INDEX('Drive Times'!$D$12:$I$51,MATCH(C35,'Drive Times'!$A$12:$A$51,0),MATCH(F35,'Drive Times'!$D$11:$I$11,0)))</f>
        <v>1.53879658332125</v>
      </c>
      <c r="L35" s="20" t="n">
        <f aca="false">IF(ISERROR(INDEX('Drive Times'!$D$12:$I$51,MATCH(C35,'Drive Times'!$A$12:$A$51,0),MATCH(G35,'Drive Times'!$D$11:$I$11,0))),"",INDEX('Drive Times'!$D$12:$I$51,MATCH(C35,'Drive Times'!$A$12:$A$51,0),MATCH(G35,'Drive Times'!$D$11:$I$11,0)))</f>
        <v>0</v>
      </c>
      <c r="M35" s="19" t="s">
        <v>240</v>
      </c>
      <c r="N35" s="19" t="n">
        <v>1</v>
      </c>
      <c r="O35" s="19" t="s">
        <v>204</v>
      </c>
      <c r="P35" s="28" t="s">
        <v>246</v>
      </c>
      <c r="Q35" s="19" t="s">
        <v>226</v>
      </c>
    </row>
    <row r="36" customFormat="false" ht="15" hidden="false" customHeight="false" outlineLevel="0" collapsed="false">
      <c r="A36" s="19" t="n">
        <v>6887</v>
      </c>
      <c r="B36" s="19" t="str">
        <f aca="false">INDEX(Strength!$B$2:$B$76,MATCH(A36,Strength!$A$2:$A$76,0))</f>
        <v>Dalton Catabots</v>
      </c>
      <c r="C36" s="19" t="str">
        <f aca="false">INDEX(Strength!$C$2:$C$76,MATCH(A36,Strength!$A$2:$A$76,0))</f>
        <v>Dalton</v>
      </c>
      <c r="D36" s="20" t="n">
        <f aca="false">INDEX(Strength!$U$2:$U$76,MATCH(A36,Strength!$A$2:$A$76,0))</f>
        <v>35.1144688644689</v>
      </c>
      <c r="E36" s="19" t="n">
        <f aca="false">INDEX(Strength!$V$2:$V$76,MATCH(A36,Strength!$A$2:$A$76,0))</f>
        <v>35</v>
      </c>
      <c r="F36" s="27" t="s">
        <v>106</v>
      </c>
      <c r="G36" s="27" t="s">
        <v>111</v>
      </c>
      <c r="H36" s="19" t="n">
        <f aca="false">IF(ISERROR(INDEX('Events 2027'!$C$5:$C$9,MATCH(F36,'Events 2027'!$A$5:$A$9,0))),"",INDEX('Events 2027'!$C$5:$C$9,MATCH(F36,'Events 2027'!$A$5:$A$9,0)))</f>
        <v>1</v>
      </c>
      <c r="I36" s="19" t="n">
        <f aca="false">IF(ISERROR(INDEX('Events 2027'!$C$5:$C$9,MATCH(G36,'Events 2027'!$A$5:$A$9,0))),"",INDEX('Events 2027'!$C$5:$C$9,MATCH(G36,'Events 2027'!$A$5:$A$9,0)))</f>
        <v>5</v>
      </c>
      <c r="J36" s="26" t="n">
        <f aca="false">IF(ISERROR(ABS(I36-H36)),"",ABS(I36-H36))</f>
        <v>4</v>
      </c>
      <c r="K36" s="20" t="n">
        <f aca="false">IF(ISERROR(INDEX('Drive Times'!$D$12:$I$51,MATCH(C36,'Drive Times'!$A$12:$A$51,0),MATCH(F36,'Drive Times'!$D$11:$I$11,0))),"",INDEX('Drive Times'!$D$12:$I$51,MATCH(C36,'Drive Times'!$A$12:$A$51,0),MATCH(F36,'Drive Times'!$D$11:$I$11,0)))</f>
        <v>0</v>
      </c>
      <c r="L36" s="20" t="n">
        <f aca="false">IF(ISERROR(INDEX('Drive Times'!$D$12:$I$51,MATCH(C36,'Drive Times'!$A$12:$A$51,0),MATCH(G36,'Drive Times'!$D$11:$I$11,0))),"",INDEX('Drive Times'!$D$12:$I$51,MATCH(C36,'Drive Times'!$A$12:$A$51,0),MATCH(G36,'Drive Times'!$D$11:$I$11,0)))</f>
        <v>1.53879658332125</v>
      </c>
      <c r="M36" s="19" t="s">
        <v>214</v>
      </c>
      <c r="N36" s="19" t="n">
        <v>1</v>
      </c>
      <c r="O36" s="19" t="s">
        <v>204</v>
      </c>
      <c r="P36" s="28" t="s">
        <v>228</v>
      </c>
      <c r="Q36" s="19" t="s">
        <v>209</v>
      </c>
    </row>
    <row r="37" customFormat="false" ht="15" hidden="false" customHeight="false" outlineLevel="0" collapsed="false">
      <c r="A37" s="19" t="n">
        <v>8866</v>
      </c>
      <c r="B37" s="19" t="str">
        <f aca="false">INDEX(Strength!$B$2:$B$76,MATCH(A37,Strength!$A$2:$A$76,0))</f>
        <v>Innovation Robotics</v>
      </c>
      <c r="C37" s="19" t="str">
        <f aca="false">INDEX(Strength!$C$2:$C$76,MATCH(A37,Strength!$A$2:$A$76,0))</f>
        <v>Alpharetta</v>
      </c>
      <c r="D37" s="20" t="n">
        <f aca="false">INDEX(Strength!$U$2:$U$76,MATCH(A37,Strength!$A$2:$A$76,0))</f>
        <v>34.9038461538462</v>
      </c>
      <c r="E37" s="19" t="n">
        <f aca="false">INDEX(Strength!$V$2:$V$76,MATCH(A37,Strength!$A$2:$A$76,0))</f>
        <v>36</v>
      </c>
      <c r="F37" s="27" t="s">
        <v>106</v>
      </c>
      <c r="G37" s="27" t="s">
        <v>110</v>
      </c>
      <c r="H37" s="19" t="n">
        <f aca="false">IF(ISERROR(INDEX('Events 2027'!$C$5:$C$9,MATCH(F37,'Events 2027'!$A$5:$A$9,0))),"",INDEX('Events 2027'!$C$5:$C$9,MATCH(F37,'Events 2027'!$A$5:$A$9,0)))</f>
        <v>1</v>
      </c>
      <c r="I37" s="19" t="n">
        <f aca="false">IF(ISERROR(INDEX('Events 2027'!$C$5:$C$9,MATCH(G37,'Events 2027'!$A$5:$A$9,0))),"",INDEX('Events 2027'!$C$5:$C$9,MATCH(G37,'Events 2027'!$A$5:$A$9,0)))</f>
        <v>4</v>
      </c>
      <c r="J37" s="26" t="n">
        <f aca="false">IF(ISERROR(ABS(I37-H37)),"",ABS(I37-H37))</f>
        <v>3</v>
      </c>
      <c r="K37" s="20" t="n">
        <f aca="false">IF(ISERROR(INDEX('Drive Times'!$D$12:$I$51,MATCH(C37,'Drive Times'!$A$12:$A$51,0),MATCH(F37,'Drive Times'!$D$11:$I$11,0))),"",INDEX('Drive Times'!$D$12:$I$51,MATCH(C37,'Drive Times'!$A$12:$A$51,0),MATCH(F37,'Drive Times'!$D$11:$I$11,0)))</f>
        <v>1.35580453376902</v>
      </c>
      <c r="L37" s="20" t="n">
        <f aca="false">IF(ISERROR(INDEX('Drive Times'!$D$12:$I$51,MATCH(C37,'Drive Times'!$A$12:$A$51,0),MATCH(G37,'Drive Times'!$D$11:$I$11,0))),"",INDEX('Drive Times'!$D$12:$I$51,MATCH(C37,'Drive Times'!$A$12:$A$51,0),MATCH(G37,'Drive Times'!$D$11:$I$11,0)))</f>
        <v>3.39314468763514</v>
      </c>
      <c r="M37" s="19" t="s">
        <v>138</v>
      </c>
      <c r="N37" s="19" t="n">
        <v>2</v>
      </c>
      <c r="O37" s="19" t="s">
        <v>204</v>
      </c>
      <c r="P37" s="28" t="s">
        <v>247</v>
      </c>
      <c r="Q37" s="19" t="s">
        <v>226</v>
      </c>
    </row>
    <row r="38" customFormat="false" ht="15" hidden="false" customHeight="false" outlineLevel="0" collapsed="false">
      <c r="A38" s="19" t="n">
        <v>9522</v>
      </c>
      <c r="B38" s="19" t="str">
        <f aca="false">INDEX(Strength!$B$2:$B$76,MATCH(A38,Strength!$A$2:$A$76,0))</f>
        <v>Archimedes</v>
      </c>
      <c r="C38" s="19" t="str">
        <f aca="false">INDEX(Strength!$C$2:$C$76,MATCH(A38,Strength!$A$2:$A$76,0))</f>
        <v>Flowery Branch</v>
      </c>
      <c r="D38" s="20" t="n">
        <f aca="false">INDEX(Strength!$U$2:$U$76,MATCH(A38,Strength!$A$2:$A$76,0))</f>
        <v>34.8855311355311</v>
      </c>
      <c r="E38" s="19" t="n">
        <f aca="false">INDEX(Strength!$V$2:$V$76,MATCH(A38,Strength!$A$2:$A$76,0))</f>
        <v>37</v>
      </c>
      <c r="F38" s="27" t="s">
        <v>107</v>
      </c>
      <c r="G38" s="27" t="s">
        <v>108</v>
      </c>
      <c r="H38" s="19" t="n">
        <f aca="false">IF(ISERROR(INDEX('Events 2027'!$C$5:$C$9,MATCH(F38,'Events 2027'!$A$5:$A$9,0))),"",INDEX('Events 2027'!$C$5:$C$9,MATCH(F38,'Events 2027'!$A$5:$A$9,0)))</f>
        <v>2</v>
      </c>
      <c r="I38" s="19" t="n">
        <f aca="false">IF(ISERROR(INDEX('Events 2027'!$C$5:$C$9,MATCH(G38,'Events 2027'!$A$5:$A$9,0))),"",INDEX('Events 2027'!$C$5:$C$9,MATCH(G38,'Events 2027'!$A$5:$A$9,0)))</f>
        <v>3</v>
      </c>
      <c r="J38" s="26" t="n">
        <f aca="false">IF(ISERROR(ABS(I38-H38)),"",ABS(I38-H38))</f>
        <v>1</v>
      </c>
      <c r="K38" s="20" t="n">
        <f aca="false">IF(ISERROR(INDEX('Drive Times'!$D$12:$I$51,MATCH(C38,'Drive Times'!$A$12:$A$51,0),MATCH(F38,'Drive Times'!$D$11:$I$11,0))),"",INDEX('Drive Times'!$D$12:$I$51,MATCH(C38,'Drive Times'!$A$12:$A$51,0),MATCH(F38,'Drive Times'!$D$11:$I$11,0)))</f>
        <v>0.405242474177297</v>
      </c>
      <c r="L38" s="20" t="n">
        <f aca="false">IF(ISERROR(INDEX('Drive Times'!$D$12:$I$51,MATCH(C38,'Drive Times'!$A$12:$A$51,0),MATCH(G38,'Drive Times'!$D$11:$I$11,0))),"",INDEX('Drive Times'!$D$12:$I$51,MATCH(C38,'Drive Times'!$A$12:$A$51,0),MATCH(G38,'Drive Times'!$D$11:$I$11,0)))</f>
        <v>0.524762837773509</v>
      </c>
      <c r="M38" s="19" t="s">
        <v>199</v>
      </c>
      <c r="N38" s="19" t="n">
        <v>2</v>
      </c>
      <c r="O38" s="19" t="s">
        <v>200</v>
      </c>
      <c r="P38" s="28" t="s">
        <v>248</v>
      </c>
      <c r="Q38" s="19" t="s">
        <v>202</v>
      </c>
    </row>
    <row r="39" customFormat="false" ht="15" hidden="false" customHeight="false" outlineLevel="0" collapsed="false">
      <c r="A39" s="19" t="n">
        <v>9561</v>
      </c>
      <c r="B39" s="19" t="str">
        <f aca="false">INDEX(Strength!$B$2:$B$76,MATCH(A39,Strength!$A$2:$A$76,0))</f>
        <v>Dawson Dinos</v>
      </c>
      <c r="C39" s="19" t="str">
        <f aca="false">INDEX(Strength!$C$2:$C$76,MATCH(A39,Strength!$A$2:$A$76,0))</f>
        <v>Dawsonville</v>
      </c>
      <c r="D39" s="20" t="n">
        <f aca="false">INDEX(Strength!$U$2:$U$76,MATCH(A39,Strength!$A$2:$A$76,0))</f>
        <v>33.3166833166833</v>
      </c>
      <c r="E39" s="19" t="n">
        <f aca="false">INDEX(Strength!$V$2:$V$76,MATCH(A39,Strength!$A$2:$A$76,0))</f>
        <v>38</v>
      </c>
      <c r="F39" s="27" t="s">
        <v>107</v>
      </c>
      <c r="G39" s="27" t="s">
        <v>108</v>
      </c>
      <c r="H39" s="19" t="n">
        <f aca="false">IF(ISERROR(INDEX('Events 2027'!$C$5:$C$9,MATCH(F39,'Events 2027'!$A$5:$A$9,0))),"",INDEX('Events 2027'!$C$5:$C$9,MATCH(F39,'Events 2027'!$A$5:$A$9,0)))</f>
        <v>2</v>
      </c>
      <c r="I39" s="19" t="n">
        <f aca="false">IF(ISERROR(INDEX('Events 2027'!$C$5:$C$9,MATCH(G39,'Events 2027'!$A$5:$A$9,0))),"",INDEX('Events 2027'!$C$5:$C$9,MATCH(G39,'Events 2027'!$A$5:$A$9,0)))</f>
        <v>3</v>
      </c>
      <c r="J39" s="26" t="n">
        <f aca="false">IF(ISERROR(ABS(I39-H39)),"",ABS(I39-H39))</f>
        <v>1</v>
      </c>
      <c r="K39" s="20" t="n">
        <f aca="false">IF(ISERROR(INDEX('Drive Times'!$D$12:$I$51,MATCH(C39,'Drive Times'!$A$12:$A$51,0),MATCH(F39,'Drive Times'!$D$11:$I$11,0))),"",INDEX('Drive Times'!$D$12:$I$51,MATCH(C39,'Drive Times'!$A$12:$A$51,0),MATCH(F39,'Drive Times'!$D$11:$I$11,0)))</f>
        <v>0.572832469278775</v>
      </c>
      <c r="L39" s="20" t="n">
        <f aca="false">IF(ISERROR(INDEX('Drive Times'!$D$12:$I$51,MATCH(C39,'Drive Times'!$A$12:$A$51,0),MATCH(G39,'Drive Times'!$D$11:$I$11,0))),"",INDEX('Drive Times'!$D$12:$I$51,MATCH(C39,'Drive Times'!$A$12:$A$51,0),MATCH(G39,'Drive Times'!$D$11:$I$11,0)))</f>
        <v>0.831999506977127</v>
      </c>
      <c r="M39" s="19" t="s">
        <v>199</v>
      </c>
      <c r="N39" s="19" t="n">
        <v>2</v>
      </c>
      <c r="O39" s="19" t="s">
        <v>200</v>
      </c>
      <c r="P39" s="28" t="s">
        <v>249</v>
      </c>
      <c r="Q39" s="19" t="s">
        <v>202</v>
      </c>
    </row>
    <row r="40" customFormat="false" ht="15" hidden="false" customHeight="false" outlineLevel="0" collapsed="false">
      <c r="A40" s="19" t="n">
        <v>3815</v>
      </c>
      <c r="B40" s="19" t="str">
        <f aca="false">INDEX(Strength!$B$2:$B$76,MATCH(A40,Strength!$A$2:$A$76,0))</f>
        <v>NF Raiders</v>
      </c>
      <c r="C40" s="19" t="str">
        <f aca="false">INDEX(Strength!$C$2:$C$76,MATCH(A40,Strength!$A$2:$A$76,0))</f>
        <v>Cumming</v>
      </c>
      <c r="D40" s="20" t="n">
        <f aca="false">INDEX(Strength!$U$2:$U$76,MATCH(A40,Strength!$A$2:$A$76,0))</f>
        <v>33.2600732600733</v>
      </c>
      <c r="E40" s="19" t="n">
        <f aca="false">INDEX(Strength!$V$2:$V$76,MATCH(A40,Strength!$A$2:$A$76,0))</f>
        <v>39</v>
      </c>
      <c r="F40" s="27" t="s">
        <v>107</v>
      </c>
      <c r="G40" s="27" t="s">
        <v>111</v>
      </c>
      <c r="H40" s="19" t="n">
        <f aca="false">IF(ISERROR(INDEX('Events 2027'!$C$5:$C$9,MATCH(F40,'Events 2027'!$A$5:$A$9,0))),"",INDEX('Events 2027'!$C$5:$C$9,MATCH(F40,'Events 2027'!$A$5:$A$9,0)))</f>
        <v>2</v>
      </c>
      <c r="I40" s="19" t="n">
        <f aca="false">IF(ISERROR(INDEX('Events 2027'!$C$5:$C$9,MATCH(G40,'Events 2027'!$A$5:$A$9,0))),"",INDEX('Events 2027'!$C$5:$C$9,MATCH(G40,'Events 2027'!$A$5:$A$9,0)))</f>
        <v>5</v>
      </c>
      <c r="J40" s="26" t="n">
        <f aca="false">IF(ISERROR(ABS(I40-H40)),"",ABS(I40-H40))</f>
        <v>3</v>
      </c>
      <c r="K40" s="20" t="n">
        <f aca="false">IF(ISERROR(INDEX('Drive Times'!$D$12:$I$51,MATCH(C40,'Drive Times'!$A$12:$A$51,0),MATCH(F40,'Drive Times'!$D$11:$I$11,0))),"",INDEX('Drive Times'!$D$12:$I$51,MATCH(C40,'Drive Times'!$A$12:$A$51,0),MATCH(F40,'Drive Times'!$D$11:$I$11,0)))</f>
        <v>0.577603222242459</v>
      </c>
      <c r="L40" s="20" t="n">
        <f aca="false">IF(ISERROR(INDEX('Drive Times'!$D$12:$I$51,MATCH(C40,'Drive Times'!$A$12:$A$51,0),MATCH(G40,'Drive Times'!$D$11:$I$11,0))),"",INDEX('Drive Times'!$D$12:$I$51,MATCH(C40,'Drive Times'!$A$12:$A$51,0),MATCH(G40,'Drive Times'!$D$11:$I$11,0)))</f>
        <v>1.08748539336027</v>
      </c>
      <c r="M40" s="19" t="s">
        <v>233</v>
      </c>
      <c r="N40" s="19" t="n">
        <v>1</v>
      </c>
      <c r="O40" s="19" t="s">
        <v>204</v>
      </c>
      <c r="P40" s="28" t="s">
        <v>250</v>
      </c>
      <c r="Q40" s="19" t="s">
        <v>235</v>
      </c>
    </row>
    <row r="41" customFormat="false" ht="15" hidden="false" customHeight="false" outlineLevel="0" collapsed="false">
      <c r="A41" s="19" t="n">
        <v>8815</v>
      </c>
      <c r="B41" s="19" t="str">
        <f aca="false">INDEX(Strength!$B$2:$B$76,MATCH(A41,Strength!$A$2:$A$76,0))</f>
        <v>Barnstormers</v>
      </c>
      <c r="C41" s="19" t="str">
        <f aca="false">INDEX(Strength!$C$2:$C$76,MATCH(A41,Strength!$A$2:$A$76,0))</f>
        <v>Statesboro</v>
      </c>
      <c r="D41" s="20" t="n">
        <f aca="false">INDEX(Strength!$U$2:$U$76,MATCH(A41,Strength!$A$2:$A$76,0))</f>
        <v>31.9230769230769</v>
      </c>
      <c r="E41" s="19" t="n">
        <f aca="false">INDEX(Strength!$V$2:$V$76,MATCH(A41,Strength!$A$2:$A$76,0))</f>
        <v>41</v>
      </c>
      <c r="F41" s="27" t="s">
        <v>107</v>
      </c>
      <c r="G41" s="27" t="s">
        <v>108</v>
      </c>
      <c r="H41" s="19" t="n">
        <f aca="false">IF(ISERROR(INDEX('Events 2027'!$C$5:$C$9,MATCH(F41,'Events 2027'!$A$5:$A$9,0))),"",INDEX('Events 2027'!$C$5:$C$9,MATCH(F41,'Events 2027'!$A$5:$A$9,0)))</f>
        <v>2</v>
      </c>
      <c r="I41" s="19" t="n">
        <f aca="false">IF(ISERROR(INDEX('Events 2027'!$C$5:$C$9,MATCH(G41,'Events 2027'!$A$5:$A$9,0))),"",INDEX('Events 2027'!$C$5:$C$9,MATCH(G41,'Events 2027'!$A$5:$A$9,0)))</f>
        <v>3</v>
      </c>
      <c r="J41" s="26" t="n">
        <f aca="false">IF(ISERROR(ABS(I41-H41)),"",ABS(I41-H41))</f>
        <v>1</v>
      </c>
      <c r="K41" s="20" t="n">
        <f aca="false">IF(ISERROR(INDEX('Drive Times'!$D$12:$I$51,MATCH(C41,'Drive Times'!$A$12:$A$51,0),MATCH(F41,'Drive Times'!$D$11:$I$11,0))),"",INDEX('Drive Times'!$D$12:$I$51,MATCH(C41,'Drive Times'!$A$12:$A$51,0),MATCH(F41,'Drive Times'!$D$11:$I$11,0)))</f>
        <v>3.41203870660975</v>
      </c>
      <c r="L41" s="20" t="n">
        <f aca="false">IF(ISERROR(INDEX('Drive Times'!$D$12:$I$51,MATCH(C41,'Drive Times'!$A$12:$A$51,0),MATCH(G41,'Drive Times'!$D$11:$I$11,0))),"",INDEX('Drive Times'!$D$12:$I$51,MATCH(C41,'Drive Times'!$A$12:$A$51,0),MATCH(G41,'Drive Times'!$D$11:$I$11,0)))</f>
        <v>3.24425589588377</v>
      </c>
      <c r="M41" s="19" t="s">
        <v>199</v>
      </c>
      <c r="N41" s="19" t="n">
        <v>2</v>
      </c>
      <c r="O41" s="19" t="s">
        <v>207</v>
      </c>
      <c r="P41" s="28" t="s">
        <v>251</v>
      </c>
      <c r="Q41" s="19" t="s">
        <v>206</v>
      </c>
    </row>
    <row r="42" customFormat="false" ht="15" hidden="false" customHeight="false" outlineLevel="0" collapsed="false">
      <c r="A42" s="19" t="n">
        <v>6910</v>
      </c>
      <c r="B42" s="19" t="str">
        <f aca="false">INDEX(Strength!$B$2:$B$76,MATCH(A42,Strength!$A$2:$A$76,0))</f>
        <v>Mill Creek Steel Talons</v>
      </c>
      <c r="C42" s="19" t="str">
        <f aca="false">INDEX(Strength!$C$2:$C$76,MATCH(A42,Strength!$A$2:$A$76,0))</f>
        <v>Hoschton</v>
      </c>
      <c r="D42" s="20" t="n">
        <f aca="false">INDEX(Strength!$U$2:$U$76,MATCH(A42,Strength!$A$2:$A$76,0))</f>
        <v>31.9230769230769</v>
      </c>
      <c r="E42" s="19" t="n">
        <f aca="false">INDEX(Strength!$V$2:$V$76,MATCH(A42,Strength!$A$2:$A$76,0))</f>
        <v>40</v>
      </c>
      <c r="F42" s="27" t="s">
        <v>108</v>
      </c>
      <c r="G42" s="27" t="s">
        <v>111</v>
      </c>
      <c r="H42" s="19" t="n">
        <f aca="false">IF(ISERROR(INDEX('Events 2027'!$C$5:$C$9,MATCH(F42,'Events 2027'!$A$5:$A$9,0))),"",INDEX('Events 2027'!$C$5:$C$9,MATCH(F42,'Events 2027'!$A$5:$A$9,0)))</f>
        <v>3</v>
      </c>
      <c r="I42" s="19" t="n">
        <f aca="false">IF(ISERROR(INDEX('Events 2027'!$C$5:$C$9,MATCH(G42,'Events 2027'!$A$5:$A$9,0))),"",INDEX('Events 2027'!$C$5:$C$9,MATCH(G42,'Events 2027'!$A$5:$A$9,0)))</f>
        <v>5</v>
      </c>
      <c r="J42" s="26" t="n">
        <f aca="false">IF(ISERROR(ABS(I42-H42)),"",ABS(I42-H42))</f>
        <v>2</v>
      </c>
      <c r="K42" s="20" t="n">
        <f aca="false">IF(ISERROR(INDEX('Drive Times'!$D$12:$I$51,MATCH(C42,'Drive Times'!$A$12:$A$51,0),MATCH(F42,'Drive Times'!$D$11:$I$11,0))),"",INDEX('Drive Times'!$D$12:$I$51,MATCH(C42,'Drive Times'!$A$12:$A$51,0),MATCH(F42,'Drive Times'!$D$11:$I$11,0)))</f>
        <v>0.524303985167076</v>
      </c>
      <c r="L42" s="20" t="n">
        <f aca="false">IF(ISERROR(INDEX('Drive Times'!$D$12:$I$51,MATCH(C42,'Drive Times'!$A$12:$A$51,0),MATCH(G42,'Drive Times'!$D$11:$I$11,0))),"",INDEX('Drive Times'!$D$12:$I$51,MATCH(C42,'Drive Times'!$A$12:$A$51,0),MATCH(G42,'Drive Times'!$D$11:$I$11,0)))</f>
        <v>1.35185283753884</v>
      </c>
      <c r="M42" s="19" t="s">
        <v>211</v>
      </c>
      <c r="N42" s="19" t="n">
        <v>1</v>
      </c>
      <c r="O42" s="19" t="s">
        <v>204</v>
      </c>
      <c r="P42" s="28" t="s">
        <v>252</v>
      </c>
      <c r="Q42" s="19" t="s">
        <v>253</v>
      </c>
    </row>
    <row r="43" customFormat="false" ht="15" hidden="false" customHeight="false" outlineLevel="0" collapsed="false">
      <c r="A43" s="19" t="n">
        <v>4112</v>
      </c>
      <c r="B43" s="19" t="str">
        <f aca="false">INDEX(Strength!$B$2:$B$76,MATCH(A43,Strength!$A$2:$A$76,0))</f>
        <v>EagleBots</v>
      </c>
      <c r="C43" s="19" t="str">
        <f aca="false">INDEX(Strength!$C$2:$C$76,MATCH(A43,Strength!$A$2:$A$76,0))</f>
        <v>Cumming</v>
      </c>
      <c r="D43" s="20" t="n">
        <f aca="false">INDEX(Strength!$U$2:$U$76,MATCH(A43,Strength!$A$2:$A$76,0))</f>
        <v>31.043956043956</v>
      </c>
      <c r="E43" s="19" t="n">
        <f aca="false">INDEX(Strength!$V$2:$V$76,MATCH(A43,Strength!$A$2:$A$76,0))</f>
        <v>42</v>
      </c>
      <c r="F43" s="27" t="s">
        <v>106</v>
      </c>
      <c r="G43" s="27" t="s">
        <v>111</v>
      </c>
      <c r="H43" s="19" t="n">
        <f aca="false">IF(ISERROR(INDEX('Events 2027'!$C$5:$C$9,MATCH(F43,'Events 2027'!$A$5:$A$9,0))),"",INDEX('Events 2027'!$C$5:$C$9,MATCH(F43,'Events 2027'!$A$5:$A$9,0)))</f>
        <v>1</v>
      </c>
      <c r="I43" s="19" t="n">
        <f aca="false">IF(ISERROR(INDEX('Events 2027'!$C$5:$C$9,MATCH(G43,'Events 2027'!$A$5:$A$9,0))),"",INDEX('Events 2027'!$C$5:$C$9,MATCH(G43,'Events 2027'!$A$5:$A$9,0)))</f>
        <v>5</v>
      </c>
      <c r="J43" s="26" t="n">
        <f aca="false">IF(ISERROR(ABS(I43-H43)),"",ABS(I43-H43))</f>
        <v>4</v>
      </c>
      <c r="K43" s="20" t="n">
        <f aca="false">IF(ISERROR(INDEX('Drive Times'!$D$12:$I$51,MATCH(C43,'Drive Times'!$A$12:$A$51,0),MATCH(F43,'Drive Times'!$D$11:$I$11,0))),"",INDEX('Drive Times'!$D$12:$I$51,MATCH(C43,'Drive Times'!$A$12:$A$51,0),MATCH(F43,'Drive Times'!$D$11:$I$11,0)))</f>
        <v>1.34940019448378</v>
      </c>
      <c r="L43" s="20" t="n">
        <f aca="false">IF(ISERROR(INDEX('Drive Times'!$D$12:$I$51,MATCH(C43,'Drive Times'!$A$12:$A$51,0),MATCH(G43,'Drive Times'!$D$11:$I$11,0))),"",INDEX('Drive Times'!$D$12:$I$51,MATCH(C43,'Drive Times'!$A$12:$A$51,0),MATCH(G43,'Drive Times'!$D$11:$I$11,0)))</f>
        <v>1.08748539336027</v>
      </c>
      <c r="M43" s="19" t="s">
        <v>214</v>
      </c>
      <c r="N43" s="19" t="n">
        <v>1</v>
      </c>
      <c r="O43" s="19" t="s">
        <v>204</v>
      </c>
      <c r="P43" s="28" t="s">
        <v>254</v>
      </c>
      <c r="Q43" s="19" t="s">
        <v>209</v>
      </c>
    </row>
    <row r="44" customFormat="false" ht="15" hidden="false" customHeight="false" outlineLevel="0" collapsed="false">
      <c r="A44" s="19" t="n">
        <v>11214</v>
      </c>
      <c r="B44" s="19" t="str">
        <f aca="false">INDEX(Strength!$B$2:$B$76,MATCH(A44,Strength!$A$2:$A$76,0))</f>
        <v>[CY]BEARCATS robotics</v>
      </c>
      <c r="C44" s="19" t="str">
        <f aca="false">INDEX(Strength!$C$2:$C$76,MATCH(A44,Strength!$A$2:$A$76,0))</f>
        <v>Bainbridge</v>
      </c>
      <c r="D44" s="20" t="n">
        <f aca="false">INDEX(Strength!$U$2:$U$76,MATCH(A44,Strength!$A$2:$A$76,0))</f>
        <v>30.9478021978022</v>
      </c>
      <c r="E44" s="19" t="n">
        <f aca="false">INDEX(Strength!$V$2:$V$76,MATCH(A44,Strength!$A$2:$A$76,0))</f>
        <v>43</v>
      </c>
      <c r="F44" s="27" t="s">
        <v>106</v>
      </c>
      <c r="G44" s="27" t="s">
        <v>110</v>
      </c>
      <c r="H44" s="19" t="n">
        <f aca="false">IF(ISERROR(INDEX('Events 2027'!$C$5:$C$9,MATCH(F44,'Events 2027'!$A$5:$A$9,0))),"",INDEX('Events 2027'!$C$5:$C$9,MATCH(F44,'Events 2027'!$A$5:$A$9,0)))</f>
        <v>1</v>
      </c>
      <c r="I44" s="19" t="n">
        <f aca="false">IF(ISERROR(INDEX('Events 2027'!$C$5:$C$9,MATCH(G44,'Events 2027'!$A$5:$A$9,0))),"",INDEX('Events 2027'!$C$5:$C$9,MATCH(G44,'Events 2027'!$A$5:$A$9,0)))</f>
        <v>4</v>
      </c>
      <c r="J44" s="26" t="n">
        <f aca="false">IF(ISERROR(ABS(I44-H44)),"",ABS(I44-H44))</f>
        <v>3</v>
      </c>
      <c r="K44" s="20" t="n">
        <f aca="false">IF(ISERROR(INDEX('Drive Times'!$D$12:$I$51,MATCH(C44,'Drive Times'!$A$12:$A$51,0),MATCH(F44,'Drive Times'!$D$11:$I$11,0))),"",INDEX('Drive Times'!$D$12:$I$51,MATCH(C44,'Drive Times'!$A$12:$A$51,0),MATCH(F44,'Drive Times'!$D$11:$I$11,0)))</f>
        <v>5.14156236956149</v>
      </c>
      <c r="L44" s="20" t="n">
        <f aca="false">IF(ISERROR(INDEX('Drive Times'!$D$12:$I$51,MATCH(C44,'Drive Times'!$A$12:$A$51,0),MATCH(G44,'Drive Times'!$D$11:$I$11,0))),"",INDEX('Drive Times'!$D$12:$I$51,MATCH(C44,'Drive Times'!$A$12:$A$51,0),MATCH(G44,'Drive Times'!$D$11:$I$11,0)))</f>
        <v>1.19400160999596</v>
      </c>
      <c r="M44" s="19" t="s">
        <v>138</v>
      </c>
      <c r="N44" s="19" t="n">
        <v>2</v>
      </c>
      <c r="O44" s="19" t="s">
        <v>200</v>
      </c>
      <c r="P44" s="28" t="s">
        <v>255</v>
      </c>
      <c r="Q44" s="19" t="s">
        <v>206</v>
      </c>
    </row>
    <row r="45" customFormat="false" ht="15" hidden="false" customHeight="false" outlineLevel="0" collapsed="false">
      <c r="A45" s="19" t="n">
        <v>5608</v>
      </c>
      <c r="B45" s="19" t="str">
        <f aca="false">INDEX(Strength!$B$2:$B$76,MATCH(A45,Strength!$A$2:$A$76,0))</f>
        <v>Lassiter Robotics</v>
      </c>
      <c r="C45" s="19" t="str">
        <f aca="false">INDEX(Strength!$C$2:$C$76,MATCH(A45,Strength!$A$2:$A$76,0))</f>
        <v>Marietta</v>
      </c>
      <c r="D45" s="20" t="n">
        <f aca="false">INDEX(Strength!$U$2:$U$76,MATCH(A45,Strength!$A$2:$A$76,0))</f>
        <v>30.4443382704252</v>
      </c>
      <c r="E45" s="19" t="n">
        <f aca="false">INDEX(Strength!$V$2:$V$76,MATCH(A45,Strength!$A$2:$A$76,0))</f>
        <v>44</v>
      </c>
      <c r="F45" s="27" t="s">
        <v>106</v>
      </c>
      <c r="G45" s="27" t="s">
        <v>111</v>
      </c>
      <c r="H45" s="19" t="n">
        <f aca="false">IF(ISERROR(INDEX('Events 2027'!$C$5:$C$9,MATCH(F45,'Events 2027'!$A$5:$A$9,0))),"",INDEX('Events 2027'!$C$5:$C$9,MATCH(F45,'Events 2027'!$A$5:$A$9,0)))</f>
        <v>1</v>
      </c>
      <c r="I45" s="19" t="n">
        <f aca="false">IF(ISERROR(INDEX('Events 2027'!$C$5:$C$9,MATCH(G45,'Events 2027'!$A$5:$A$9,0))),"",INDEX('Events 2027'!$C$5:$C$9,MATCH(G45,'Events 2027'!$A$5:$A$9,0)))</f>
        <v>5</v>
      </c>
      <c r="J45" s="26" t="n">
        <f aca="false">IF(ISERROR(ABS(I45-H45)),"",ABS(I45-H45))</f>
        <v>4</v>
      </c>
      <c r="K45" s="20" t="n">
        <f aca="false">IF(ISERROR(INDEX('Drive Times'!$D$12:$I$51,MATCH(C45,'Drive Times'!$A$12:$A$51,0),MATCH(F45,'Drive Times'!$D$11:$I$11,0))),"",INDEX('Drive Times'!$D$12:$I$51,MATCH(C45,'Drive Times'!$A$12:$A$51,0),MATCH(F45,'Drive Times'!$D$11:$I$11,0)))</f>
        <v>1.35133796113295</v>
      </c>
      <c r="L45" s="20" t="n">
        <f aca="false">IF(ISERROR(INDEX('Drive Times'!$D$12:$I$51,MATCH(C45,'Drive Times'!$A$12:$A$51,0),MATCH(G45,'Drive Times'!$D$11:$I$11,0))),"",INDEX('Drive Times'!$D$12:$I$51,MATCH(C45,'Drive Times'!$A$12:$A$51,0),MATCH(G45,'Drive Times'!$D$11:$I$11,0)))</f>
        <v>0.556516364828724</v>
      </c>
      <c r="M45" s="19" t="s">
        <v>214</v>
      </c>
      <c r="N45" s="19" t="n">
        <v>1</v>
      </c>
      <c r="O45" s="19" t="s">
        <v>204</v>
      </c>
      <c r="P45" s="28" t="s">
        <v>215</v>
      </c>
      <c r="Q45" s="19" t="s">
        <v>209</v>
      </c>
    </row>
    <row r="46" customFormat="false" ht="15" hidden="false" customHeight="false" outlineLevel="0" collapsed="false">
      <c r="A46" s="19" t="n">
        <v>6905</v>
      </c>
      <c r="B46" s="19" t="str">
        <f aca="false">INDEX(Strength!$B$2:$B$76,MATCH(A46,Strength!$A$2:$A$76,0))</f>
        <v>Raiders of the ARC- TEAR-A-BYTE</v>
      </c>
      <c r="C46" s="19" t="str">
        <f aca="false">INDEX(Strength!$C$2:$C$76,MATCH(A46,Strength!$A$2:$A$76,0))</f>
        <v>Alpharetta</v>
      </c>
      <c r="D46" s="20" t="n">
        <f aca="false">INDEX(Strength!$U$2:$U$76,MATCH(A46,Strength!$A$2:$A$76,0))</f>
        <v>29.4255744255744</v>
      </c>
      <c r="E46" s="19" t="n">
        <f aca="false">INDEX(Strength!$V$2:$V$76,MATCH(A46,Strength!$A$2:$A$76,0))</f>
        <v>45</v>
      </c>
      <c r="F46" s="27" t="s">
        <v>106</v>
      </c>
      <c r="G46" s="27" t="s">
        <v>110</v>
      </c>
      <c r="H46" s="19" t="n">
        <f aca="false">IF(ISERROR(INDEX('Events 2027'!$C$5:$C$9,MATCH(F46,'Events 2027'!$A$5:$A$9,0))),"",INDEX('Events 2027'!$C$5:$C$9,MATCH(F46,'Events 2027'!$A$5:$A$9,0)))</f>
        <v>1</v>
      </c>
      <c r="I46" s="19" t="n">
        <f aca="false">IF(ISERROR(INDEX('Events 2027'!$C$5:$C$9,MATCH(G46,'Events 2027'!$A$5:$A$9,0))),"",INDEX('Events 2027'!$C$5:$C$9,MATCH(G46,'Events 2027'!$A$5:$A$9,0)))</f>
        <v>4</v>
      </c>
      <c r="J46" s="26" t="n">
        <f aca="false">IF(ISERROR(ABS(I46-H46)),"",ABS(I46-H46))</f>
        <v>3</v>
      </c>
      <c r="K46" s="20" t="n">
        <f aca="false">IF(ISERROR(INDEX('Drive Times'!$D$12:$I$51,MATCH(C46,'Drive Times'!$A$12:$A$51,0),MATCH(F46,'Drive Times'!$D$11:$I$11,0))),"",INDEX('Drive Times'!$D$12:$I$51,MATCH(C46,'Drive Times'!$A$12:$A$51,0),MATCH(F46,'Drive Times'!$D$11:$I$11,0)))</f>
        <v>1.35580453376902</v>
      </c>
      <c r="L46" s="20" t="n">
        <f aca="false">IF(ISERROR(INDEX('Drive Times'!$D$12:$I$51,MATCH(C46,'Drive Times'!$A$12:$A$51,0),MATCH(G46,'Drive Times'!$D$11:$I$11,0))),"",INDEX('Drive Times'!$D$12:$I$51,MATCH(C46,'Drive Times'!$A$12:$A$51,0),MATCH(G46,'Drive Times'!$D$11:$I$11,0)))</f>
        <v>3.39314468763514</v>
      </c>
      <c r="M46" s="19" t="s">
        <v>138</v>
      </c>
      <c r="N46" s="19" t="n">
        <v>2</v>
      </c>
      <c r="O46" s="19" t="s">
        <v>204</v>
      </c>
      <c r="P46" s="28" t="s">
        <v>256</v>
      </c>
      <c r="Q46" s="19" t="s">
        <v>209</v>
      </c>
    </row>
    <row r="47" customFormat="false" ht="15" hidden="false" customHeight="false" outlineLevel="0" collapsed="false">
      <c r="A47" s="19" t="n">
        <v>3635</v>
      </c>
      <c r="B47" s="19" t="str">
        <f aca="false">INDEX(Strength!$B$2:$B$76,MATCH(A47,Strength!$A$2:$A$76,0))</f>
        <v>Flying Legion</v>
      </c>
      <c r="C47" s="19" t="str">
        <f aca="false">INDEX(Strength!$C$2:$C$76,MATCH(A47,Strength!$A$2:$A$76,0))</f>
        <v>Perry</v>
      </c>
      <c r="D47" s="20" t="n">
        <f aca="false">INDEX(Strength!$U$2:$U$76,MATCH(A47,Strength!$A$2:$A$76,0))</f>
        <v>28.7980769230769</v>
      </c>
      <c r="E47" s="19" t="n">
        <f aca="false">INDEX(Strength!$V$2:$V$76,MATCH(A47,Strength!$A$2:$A$76,0))</f>
        <v>46</v>
      </c>
      <c r="F47" s="27" t="s">
        <v>110</v>
      </c>
      <c r="G47" s="27" t="s">
        <v>111</v>
      </c>
      <c r="H47" s="19" t="n">
        <f aca="false">IF(ISERROR(INDEX('Events 2027'!$C$5:$C$9,MATCH(F47,'Events 2027'!$A$5:$A$9,0))),"",INDEX('Events 2027'!$C$5:$C$9,MATCH(F47,'Events 2027'!$A$5:$A$9,0)))</f>
        <v>4</v>
      </c>
      <c r="I47" s="19" t="n">
        <f aca="false">IF(ISERROR(INDEX('Events 2027'!$C$5:$C$9,MATCH(G47,'Events 2027'!$A$5:$A$9,0))),"",INDEX('Events 2027'!$C$5:$C$9,MATCH(G47,'Events 2027'!$A$5:$A$9,0)))</f>
        <v>5</v>
      </c>
      <c r="J47" s="26" t="n">
        <f aca="false">IF(ISERROR(ABS(I47-H47)),"",ABS(I47-H47))</f>
        <v>1</v>
      </c>
      <c r="K47" s="20" t="n">
        <f aca="false">IF(ISERROR(INDEX('Drive Times'!$D$12:$I$51,MATCH(C47,'Drive Times'!$A$12:$A$51,0),MATCH(F47,'Drive Times'!$D$11:$I$11,0))),"",INDEX('Drive Times'!$D$12:$I$51,MATCH(C47,'Drive Times'!$A$12:$A$51,0),MATCH(F47,'Drive Times'!$D$11:$I$11,0)))</f>
        <v>1.43163340615726</v>
      </c>
      <c r="L47" s="20" t="n">
        <f aca="false">IF(ISERROR(INDEX('Drive Times'!$D$12:$I$51,MATCH(C47,'Drive Times'!$A$12:$A$51,0),MATCH(G47,'Drive Times'!$D$11:$I$11,0))),"",INDEX('Drive Times'!$D$12:$I$51,MATCH(C47,'Drive Times'!$A$12:$A$51,0),MATCH(G47,'Drive Times'!$D$11:$I$11,0)))</f>
        <v>2.18775379097815</v>
      </c>
      <c r="M47" s="19" t="s">
        <v>203</v>
      </c>
      <c r="N47" s="19" t="n">
        <v>1</v>
      </c>
      <c r="O47" s="19" t="s">
        <v>204</v>
      </c>
      <c r="P47" s="28" t="s">
        <v>257</v>
      </c>
      <c r="Q47" s="19" t="s">
        <v>206</v>
      </c>
    </row>
    <row r="48" customFormat="false" ht="15" hidden="false" customHeight="false" outlineLevel="0" collapsed="false">
      <c r="A48" s="19" t="n">
        <v>8577</v>
      </c>
      <c r="B48" s="19" t="str">
        <f aca="false">INDEX(Strength!$B$2:$B$76,MATCH(A48,Strength!$A$2:$A$76,0))</f>
        <v>Georgia Cyber Academy Champions</v>
      </c>
      <c r="C48" s="19" t="str">
        <f aca="false">INDEX(Strength!$C$2:$C$76,MATCH(A48,Strength!$A$2:$A$76,0))</f>
        <v>Atlanta</v>
      </c>
      <c r="D48" s="20" t="n">
        <f aca="false">INDEX(Strength!$U$2:$U$76,MATCH(A48,Strength!$A$2:$A$76,0))</f>
        <v>28.5889110889111</v>
      </c>
      <c r="E48" s="19" t="n">
        <f aca="false">INDEX(Strength!$V$2:$V$76,MATCH(A48,Strength!$A$2:$A$76,0))</f>
        <v>47</v>
      </c>
      <c r="F48" s="27" t="s">
        <v>107</v>
      </c>
      <c r="G48" s="27" t="s">
        <v>108</v>
      </c>
      <c r="H48" s="19" t="n">
        <f aca="false">IF(ISERROR(INDEX('Events 2027'!$C$5:$C$9,MATCH(F48,'Events 2027'!$A$5:$A$9,0))),"",INDEX('Events 2027'!$C$5:$C$9,MATCH(F48,'Events 2027'!$A$5:$A$9,0)))</f>
        <v>2</v>
      </c>
      <c r="I48" s="19" t="n">
        <f aca="false">IF(ISERROR(INDEX('Events 2027'!$C$5:$C$9,MATCH(G48,'Events 2027'!$A$5:$A$9,0))),"",INDEX('Events 2027'!$C$5:$C$9,MATCH(G48,'Events 2027'!$A$5:$A$9,0)))</f>
        <v>3</v>
      </c>
      <c r="J48" s="26" t="n">
        <f aca="false">IF(ISERROR(ABS(I48-H48)),"",ABS(I48-H48))</f>
        <v>1</v>
      </c>
      <c r="K48" s="20" t="n">
        <f aca="false">IF(ISERROR(INDEX('Drive Times'!$D$12:$I$51,MATCH(C48,'Drive Times'!$A$12:$A$51,0),MATCH(F48,'Drive Times'!$D$11:$I$11,0))),"",INDEX('Drive Times'!$D$12:$I$51,MATCH(C48,'Drive Times'!$A$12:$A$51,0),MATCH(F48,'Drive Times'!$D$11:$I$11,0)))</f>
        <v>1.14049798600238</v>
      </c>
      <c r="L48" s="20" t="n">
        <f aca="false">IF(ISERROR(INDEX('Drive Times'!$D$12:$I$51,MATCH(C48,'Drive Times'!$A$12:$A$51,0),MATCH(G48,'Drive Times'!$D$11:$I$11,0))),"",INDEX('Drive Times'!$D$12:$I$51,MATCH(C48,'Drive Times'!$A$12:$A$51,0),MATCH(G48,'Drive Times'!$D$11:$I$11,0)))</f>
        <v>0.723013572465791</v>
      </c>
      <c r="M48" s="19" t="s">
        <v>199</v>
      </c>
      <c r="N48" s="19" t="n">
        <v>2</v>
      </c>
      <c r="O48" s="19" t="s">
        <v>207</v>
      </c>
      <c r="P48" s="28" t="s">
        <v>230</v>
      </c>
      <c r="Q48" s="19" t="s">
        <v>213</v>
      </c>
    </row>
    <row r="49" customFormat="false" ht="15" hidden="false" customHeight="false" outlineLevel="0" collapsed="false">
      <c r="A49" s="19" t="n">
        <v>8865</v>
      </c>
      <c r="B49" s="19" t="str">
        <f aca="false">INDEX(Strength!$B$2:$B$76,MATCH(A49,Strength!$A$2:$A$76,0))</f>
        <v>Dacula Droids</v>
      </c>
      <c r="C49" s="19" t="str">
        <f aca="false">INDEX(Strength!$C$2:$C$76,MATCH(A49,Strength!$A$2:$A$76,0))</f>
        <v>Dacula</v>
      </c>
      <c r="D49" s="20" t="n">
        <f aca="false">INDEX(Strength!$U$2:$U$76,MATCH(A49,Strength!$A$2:$A$76,0))</f>
        <v>25.7211538461538</v>
      </c>
      <c r="E49" s="19" t="n">
        <f aca="false">INDEX(Strength!$V$2:$V$76,MATCH(A49,Strength!$A$2:$A$76,0))</f>
        <v>48</v>
      </c>
      <c r="F49" s="27" t="s">
        <v>107</v>
      </c>
      <c r="G49" s="27" t="s">
        <v>108</v>
      </c>
      <c r="H49" s="19" t="n">
        <f aca="false">IF(ISERROR(INDEX('Events 2027'!$C$5:$C$9,MATCH(F49,'Events 2027'!$A$5:$A$9,0))),"",INDEX('Events 2027'!$C$5:$C$9,MATCH(F49,'Events 2027'!$A$5:$A$9,0)))</f>
        <v>2</v>
      </c>
      <c r="I49" s="19" t="n">
        <f aca="false">IF(ISERROR(INDEX('Events 2027'!$C$5:$C$9,MATCH(G49,'Events 2027'!$A$5:$A$9,0))),"",INDEX('Events 2027'!$C$5:$C$9,MATCH(G49,'Events 2027'!$A$5:$A$9,0)))</f>
        <v>3</v>
      </c>
      <c r="J49" s="26" t="n">
        <f aca="false">IF(ISERROR(ABS(I49-H49)),"",ABS(I49-H49))</f>
        <v>1</v>
      </c>
      <c r="K49" s="20" t="n">
        <f aca="false">IF(ISERROR(INDEX('Drive Times'!$D$12:$I$51,MATCH(C49,'Drive Times'!$A$12:$A$51,0),MATCH(F49,'Drive Times'!$D$11:$I$11,0))),"",INDEX('Drive Times'!$D$12:$I$51,MATCH(C49,'Drive Times'!$A$12:$A$51,0),MATCH(F49,'Drive Times'!$D$11:$I$11,0)))</f>
        <v>0.626259761645184</v>
      </c>
      <c r="L49" s="20" t="n">
        <f aca="false">IF(ISERROR(INDEX('Drive Times'!$D$12:$I$51,MATCH(C49,'Drive Times'!$A$12:$A$51,0),MATCH(G49,'Drive Times'!$D$11:$I$11,0))),"",INDEX('Drive Times'!$D$12:$I$51,MATCH(C49,'Drive Times'!$A$12:$A$51,0),MATCH(G49,'Drive Times'!$D$11:$I$11,0)))</f>
        <v>0.330655283057661</v>
      </c>
      <c r="M49" s="19" t="s">
        <v>199</v>
      </c>
      <c r="N49" s="19" t="n">
        <v>2</v>
      </c>
      <c r="O49" s="19" t="s">
        <v>200</v>
      </c>
      <c r="P49" s="28" t="s">
        <v>258</v>
      </c>
      <c r="Q49" s="19" t="s">
        <v>213</v>
      </c>
    </row>
    <row r="50" customFormat="false" ht="15" hidden="false" customHeight="false" outlineLevel="0" collapsed="false">
      <c r="A50" s="19" t="n">
        <v>7514</v>
      </c>
      <c r="B50" s="19" t="str">
        <f aca="false">INDEX(Strength!$B$2:$B$76,MATCH(A50,Strength!$A$2:$A$76,0))</f>
        <v>EVE Robotics</v>
      </c>
      <c r="C50" s="19" t="str">
        <f aca="false">INDEX(Strength!$C$2:$C$76,MATCH(A50,Strength!$A$2:$A$76,0))</f>
        <v>Atlanta</v>
      </c>
      <c r="D50" s="20" t="n">
        <f aca="false">INDEX(Strength!$U$2:$U$76,MATCH(A50,Strength!$A$2:$A$76,0))</f>
        <v>24.1254578754579</v>
      </c>
      <c r="E50" s="19" t="n">
        <f aca="false">INDEX(Strength!$V$2:$V$76,MATCH(A50,Strength!$A$2:$A$76,0))</f>
        <v>49</v>
      </c>
      <c r="F50" s="27" t="s">
        <v>106</v>
      </c>
      <c r="G50" s="27" t="s">
        <v>110</v>
      </c>
      <c r="H50" s="19" t="n">
        <f aca="false">IF(ISERROR(INDEX('Events 2027'!$C$5:$C$9,MATCH(F50,'Events 2027'!$A$5:$A$9,0))),"",INDEX('Events 2027'!$C$5:$C$9,MATCH(F50,'Events 2027'!$A$5:$A$9,0)))</f>
        <v>1</v>
      </c>
      <c r="I50" s="19" t="n">
        <f aca="false">IF(ISERROR(INDEX('Events 2027'!$C$5:$C$9,MATCH(G50,'Events 2027'!$A$5:$A$9,0))),"",INDEX('Events 2027'!$C$5:$C$9,MATCH(G50,'Events 2027'!$A$5:$A$9,0)))</f>
        <v>4</v>
      </c>
      <c r="J50" s="26" t="n">
        <f aca="false">IF(ISERROR(ABS(I50-H50)),"",ABS(I50-H50))</f>
        <v>3</v>
      </c>
      <c r="K50" s="20" t="n">
        <f aca="false">IF(ISERROR(INDEX('Drive Times'!$D$12:$I$51,MATCH(C50,'Drive Times'!$A$12:$A$51,0),MATCH(F50,'Drive Times'!$D$11:$I$11,0))),"",INDEX('Drive Times'!$D$12:$I$51,MATCH(C50,'Drive Times'!$A$12:$A$51,0),MATCH(F50,'Drive Times'!$D$11:$I$11,0)))</f>
        <v>1.65670462748578</v>
      </c>
      <c r="L50" s="20" t="n">
        <f aca="false">IF(ISERROR(INDEX('Drive Times'!$D$12:$I$51,MATCH(C50,'Drive Times'!$A$12:$A$51,0),MATCH(G50,'Drive Times'!$D$11:$I$11,0))),"",INDEX('Drive Times'!$D$12:$I$51,MATCH(C50,'Drive Times'!$A$12:$A$51,0),MATCH(G50,'Drive Times'!$D$11:$I$11,0)))</f>
        <v>2.98796135280908</v>
      </c>
      <c r="M50" s="19" t="s">
        <v>138</v>
      </c>
      <c r="N50" s="19" t="n">
        <v>2</v>
      </c>
      <c r="O50" s="19" t="s">
        <v>204</v>
      </c>
      <c r="P50" s="28" t="s">
        <v>242</v>
      </c>
      <c r="Q50" s="19" t="s">
        <v>209</v>
      </c>
    </row>
    <row r="51" customFormat="false" ht="15" hidden="false" customHeight="false" outlineLevel="0" collapsed="false">
      <c r="A51" s="19" t="n">
        <v>5651</v>
      </c>
      <c r="B51" s="19" t="str">
        <f aca="false">INDEX(Strength!$B$2:$B$76,MATCH(A51,Strength!$A$2:$A$76,0))</f>
        <v>Maynard Jackson RoboJags</v>
      </c>
      <c r="C51" s="19" t="str">
        <f aca="false">INDEX(Strength!$C$2:$C$76,MATCH(A51,Strength!$A$2:$A$76,0))</f>
        <v>Atlanta</v>
      </c>
      <c r="D51" s="20" t="n">
        <f aca="false">INDEX(Strength!$U$2:$U$76,MATCH(A51,Strength!$A$2:$A$76,0))</f>
        <v>23.246336996337</v>
      </c>
      <c r="E51" s="19" t="n">
        <f aca="false">INDEX(Strength!$V$2:$V$76,MATCH(A51,Strength!$A$2:$A$76,0))</f>
        <v>50</v>
      </c>
      <c r="F51" s="27" t="s">
        <v>107</v>
      </c>
      <c r="G51" s="27" t="s">
        <v>108</v>
      </c>
      <c r="H51" s="19" t="n">
        <f aca="false">IF(ISERROR(INDEX('Events 2027'!$C$5:$C$9,MATCH(F51,'Events 2027'!$A$5:$A$9,0))),"",INDEX('Events 2027'!$C$5:$C$9,MATCH(F51,'Events 2027'!$A$5:$A$9,0)))</f>
        <v>2</v>
      </c>
      <c r="I51" s="19" t="n">
        <f aca="false">IF(ISERROR(INDEX('Events 2027'!$C$5:$C$9,MATCH(G51,'Events 2027'!$A$5:$A$9,0))),"",INDEX('Events 2027'!$C$5:$C$9,MATCH(G51,'Events 2027'!$A$5:$A$9,0)))</f>
        <v>3</v>
      </c>
      <c r="J51" s="26" t="n">
        <f aca="false">IF(ISERROR(ABS(I51-H51)),"",ABS(I51-H51))</f>
        <v>1</v>
      </c>
      <c r="K51" s="20" t="n">
        <f aca="false">IF(ISERROR(INDEX('Drive Times'!$D$12:$I$51,MATCH(C51,'Drive Times'!$A$12:$A$51,0),MATCH(F51,'Drive Times'!$D$11:$I$11,0))),"",INDEX('Drive Times'!$D$12:$I$51,MATCH(C51,'Drive Times'!$A$12:$A$51,0),MATCH(F51,'Drive Times'!$D$11:$I$11,0)))</f>
        <v>1.14049798600238</v>
      </c>
      <c r="L51" s="20" t="n">
        <f aca="false">IF(ISERROR(INDEX('Drive Times'!$D$12:$I$51,MATCH(C51,'Drive Times'!$A$12:$A$51,0),MATCH(G51,'Drive Times'!$D$11:$I$11,0))),"",INDEX('Drive Times'!$D$12:$I$51,MATCH(C51,'Drive Times'!$A$12:$A$51,0),MATCH(G51,'Drive Times'!$D$11:$I$11,0)))</f>
        <v>0.723013572465791</v>
      </c>
      <c r="M51" s="19" t="s">
        <v>199</v>
      </c>
      <c r="N51" s="19" t="n">
        <v>2</v>
      </c>
      <c r="O51" s="19" t="s">
        <v>207</v>
      </c>
      <c r="P51" s="28" t="s">
        <v>230</v>
      </c>
      <c r="Q51" s="19" t="s">
        <v>213</v>
      </c>
    </row>
    <row r="52" customFormat="false" ht="15" hidden="false" customHeight="false" outlineLevel="0" collapsed="false">
      <c r="A52" s="19" t="n">
        <v>4701</v>
      </c>
      <c r="B52" s="19" t="str">
        <f aca="false">INDEX(Strength!$B$2:$B$76,MATCH(A52,Strength!$A$2:$A$76,0))</f>
        <v>Warriors (Team W.I.R.E.)</v>
      </c>
      <c r="C52" s="19" t="str">
        <f aca="false">INDEX(Strength!$C$2:$C$76,MATCH(A52,Strength!$A$2:$A$76,0))</f>
        <v>Savannah</v>
      </c>
      <c r="D52" s="20" t="n">
        <f aca="false">INDEX(Strength!$U$2:$U$76,MATCH(A52,Strength!$A$2:$A$76,0))</f>
        <v>22.481684981685</v>
      </c>
      <c r="E52" s="19" t="n">
        <f aca="false">INDEX(Strength!$V$2:$V$76,MATCH(A52,Strength!$A$2:$A$76,0))</f>
        <v>51</v>
      </c>
      <c r="F52" s="27" t="s">
        <v>108</v>
      </c>
      <c r="G52" s="27" t="s">
        <v>110</v>
      </c>
      <c r="H52" s="19" t="n">
        <f aca="false">IF(ISERROR(INDEX('Events 2027'!$C$5:$C$9,MATCH(F52,'Events 2027'!$A$5:$A$9,0))),"",INDEX('Events 2027'!$C$5:$C$9,MATCH(F52,'Events 2027'!$A$5:$A$9,0)))</f>
        <v>3</v>
      </c>
      <c r="I52" s="19" t="n">
        <f aca="false">IF(ISERROR(INDEX('Events 2027'!$C$5:$C$9,MATCH(G52,'Events 2027'!$A$5:$A$9,0))),"",INDEX('Events 2027'!$C$5:$C$9,MATCH(G52,'Events 2027'!$A$5:$A$9,0)))</f>
        <v>4</v>
      </c>
      <c r="J52" s="26" t="n">
        <f aca="false">IF(ISERROR(ABS(I52-H52)),"",ABS(I52-H52))</f>
        <v>1</v>
      </c>
      <c r="K52" s="20" t="n">
        <f aca="false">IF(ISERROR(INDEX('Drive Times'!$D$12:$I$51,MATCH(C52,'Drive Times'!$A$12:$A$51,0),MATCH(F52,'Drive Times'!$D$11:$I$11,0))),"",INDEX('Drive Times'!$D$12:$I$51,MATCH(C52,'Drive Times'!$A$12:$A$51,0),MATCH(F52,'Drive Times'!$D$11:$I$11,0)))</f>
        <v>4.11332965502085</v>
      </c>
      <c r="L52" s="20" t="n">
        <f aca="false">IF(ISERROR(INDEX('Drive Times'!$D$12:$I$51,MATCH(C52,'Drive Times'!$A$12:$A$51,0),MATCH(G52,'Drive Times'!$D$11:$I$11,0))),"",INDEX('Drive Times'!$D$12:$I$51,MATCH(C52,'Drive Times'!$A$12:$A$51,0),MATCH(G52,'Drive Times'!$D$11:$I$11,0)))</f>
        <v>3.58619729466056</v>
      </c>
      <c r="M52" s="19" t="s">
        <v>211</v>
      </c>
      <c r="N52" s="19" t="n">
        <v>2</v>
      </c>
      <c r="O52" s="19" t="s">
        <v>200</v>
      </c>
      <c r="P52" s="28" t="s">
        <v>259</v>
      </c>
      <c r="Q52" s="19" t="s">
        <v>206</v>
      </c>
    </row>
    <row r="53" customFormat="false" ht="15" hidden="false" customHeight="false" outlineLevel="0" collapsed="false">
      <c r="A53" s="19" t="n">
        <v>4459</v>
      </c>
      <c r="B53" s="19" t="str">
        <f aca="false">INDEX(Strength!$B$2:$B$76,MATCH(A53,Strength!$A$2:$A$76,0))</f>
        <v>LeoTechs</v>
      </c>
      <c r="C53" s="19" t="str">
        <f aca="false">INDEX(Strength!$C$2:$C$76,MATCH(A53,Strength!$A$2:$A$76,0))</f>
        <v>Lithia Springs</v>
      </c>
      <c r="D53" s="20" t="n">
        <f aca="false">INDEX(Strength!$U$2:$U$76,MATCH(A53,Strength!$A$2:$A$76,0))</f>
        <v>22.2527472527473</v>
      </c>
      <c r="E53" s="19" t="n">
        <f aca="false">INDEX(Strength!$V$2:$V$76,MATCH(A53,Strength!$A$2:$A$76,0))</f>
        <v>52</v>
      </c>
      <c r="F53" s="27" t="s">
        <v>107</v>
      </c>
      <c r="G53" s="27" t="s">
        <v>111</v>
      </c>
      <c r="H53" s="19" t="n">
        <f aca="false">IF(ISERROR(INDEX('Events 2027'!$C$5:$C$9,MATCH(F53,'Events 2027'!$A$5:$A$9,0))),"",INDEX('Events 2027'!$C$5:$C$9,MATCH(F53,'Events 2027'!$A$5:$A$9,0)))</f>
        <v>2</v>
      </c>
      <c r="I53" s="19" t="n">
        <f aca="false">IF(ISERROR(INDEX('Events 2027'!$C$5:$C$9,MATCH(G53,'Events 2027'!$A$5:$A$9,0))),"",INDEX('Events 2027'!$C$5:$C$9,MATCH(G53,'Events 2027'!$A$5:$A$9,0)))</f>
        <v>5</v>
      </c>
      <c r="J53" s="26" t="n">
        <f aca="false">IF(ISERROR(ABS(I53-H53)),"",ABS(I53-H53))</f>
        <v>3</v>
      </c>
      <c r="K53" s="20" t="n">
        <f aca="false">IF(ISERROR(INDEX('Drive Times'!$D$12:$I$51,MATCH(C53,'Drive Times'!$A$12:$A$51,0),MATCH(F53,'Drive Times'!$D$11:$I$11,0))),"",INDEX('Drive Times'!$D$12:$I$51,MATCH(C53,'Drive Times'!$A$12:$A$51,0),MATCH(F53,'Drive Times'!$D$11:$I$11,0)))</f>
        <v>1.31223524890096</v>
      </c>
      <c r="L53" s="20" t="n">
        <f aca="false">IF(ISERROR(INDEX('Drive Times'!$D$12:$I$51,MATCH(C53,'Drive Times'!$A$12:$A$51,0),MATCH(G53,'Drive Times'!$D$11:$I$11,0))),"",INDEX('Drive Times'!$D$12:$I$51,MATCH(C53,'Drive Times'!$A$12:$A$51,0),MATCH(G53,'Drive Times'!$D$11:$I$11,0)))</f>
        <v>0.333858942899955</v>
      </c>
      <c r="M53" s="19" t="s">
        <v>233</v>
      </c>
      <c r="N53" s="19" t="n">
        <v>1</v>
      </c>
      <c r="O53" s="19" t="s">
        <v>207</v>
      </c>
      <c r="P53" s="28" t="s">
        <v>260</v>
      </c>
      <c r="Q53" s="19" t="s">
        <v>235</v>
      </c>
    </row>
    <row r="54" customFormat="false" ht="15" hidden="false" customHeight="false" outlineLevel="0" collapsed="false">
      <c r="A54" s="19" t="n">
        <v>5828</v>
      </c>
      <c r="B54" s="19" t="str">
        <f aca="false">INDEX(Strength!$B$2:$B$76,MATCH(A54,Strength!$A$2:$A$76,0))</f>
        <v>Flying Riots</v>
      </c>
      <c r="C54" s="19" t="str">
        <f aca="false">INDEX(Strength!$C$2:$C$76,MATCH(A54,Strength!$A$2:$A$76,0))</f>
        <v>Albany</v>
      </c>
      <c r="D54" s="20" t="n">
        <f aca="false">INDEX(Strength!$U$2:$U$76,MATCH(A54,Strength!$A$2:$A$76,0))</f>
        <v>22.0688007644529</v>
      </c>
      <c r="E54" s="19" t="n">
        <f aca="false">INDEX(Strength!$V$2:$V$76,MATCH(A54,Strength!$A$2:$A$76,0))</f>
        <v>53</v>
      </c>
      <c r="F54" s="27" t="s">
        <v>110</v>
      </c>
      <c r="G54" s="27" t="s">
        <v>111</v>
      </c>
      <c r="H54" s="19" t="n">
        <f aca="false">IF(ISERROR(INDEX('Events 2027'!$C$5:$C$9,MATCH(F54,'Events 2027'!$A$5:$A$9,0))),"",INDEX('Events 2027'!$C$5:$C$9,MATCH(F54,'Events 2027'!$A$5:$A$9,0)))</f>
        <v>4</v>
      </c>
      <c r="I54" s="19" t="n">
        <f aca="false">IF(ISERROR(INDEX('Events 2027'!$C$5:$C$9,MATCH(G54,'Events 2027'!$A$5:$A$9,0))),"",INDEX('Events 2027'!$C$5:$C$9,MATCH(G54,'Events 2027'!$A$5:$A$9,0)))</f>
        <v>5</v>
      </c>
      <c r="J54" s="26" t="n">
        <f aca="false">IF(ISERROR(ABS(I54-H54)),"",ABS(I54-H54))</f>
        <v>1</v>
      </c>
      <c r="K54" s="20" t="n">
        <f aca="false">IF(ISERROR(INDEX('Drive Times'!$D$12:$I$51,MATCH(C54,'Drive Times'!$A$12:$A$51,0),MATCH(F54,'Drive Times'!$D$11:$I$11,0))),"",INDEX('Drive Times'!$D$12:$I$51,MATCH(C54,'Drive Times'!$A$12:$A$51,0),MATCH(F54,'Drive Times'!$D$11:$I$11,0)))</f>
        <v>0</v>
      </c>
      <c r="L54" s="20" t="n">
        <f aca="false">IF(ISERROR(INDEX('Drive Times'!$D$12:$I$51,MATCH(C54,'Drive Times'!$A$12:$A$51,0),MATCH(G54,'Drive Times'!$D$11:$I$11,0))),"",INDEX('Drive Times'!$D$12:$I$51,MATCH(C54,'Drive Times'!$A$12:$A$51,0),MATCH(G54,'Drive Times'!$D$11:$I$11,0)))</f>
        <v>3.05058889168361</v>
      </c>
      <c r="M54" s="19" t="s">
        <v>203</v>
      </c>
      <c r="N54" s="19" t="n">
        <v>1</v>
      </c>
      <c r="O54" s="19" t="s">
        <v>204</v>
      </c>
      <c r="P54" s="28" t="s">
        <v>261</v>
      </c>
      <c r="Q54" s="19" t="s">
        <v>206</v>
      </c>
    </row>
    <row r="55" customFormat="false" ht="15" hidden="false" customHeight="false" outlineLevel="0" collapsed="false">
      <c r="A55" s="19" t="n">
        <v>9086</v>
      </c>
      <c r="B55" s="19" t="str">
        <f aca="false">INDEX(Strength!$B$2:$B$76,MATCH(A55,Strength!$A$2:$A$76,0))</f>
        <v>Wildcat Robotics</v>
      </c>
      <c r="C55" s="19" t="str">
        <f aca="false">INDEX(Strength!$C$2:$C$76,MATCH(A55,Strength!$A$2:$A$76,0))</f>
        <v>Richmond Hill</v>
      </c>
      <c r="D55" s="20" t="n">
        <f aca="false">INDEX(Strength!$U$2:$U$76,MATCH(A55,Strength!$A$2:$A$76,0))</f>
        <v>21.9276556776557</v>
      </c>
      <c r="E55" s="19" t="n">
        <f aca="false">INDEX(Strength!$V$2:$V$76,MATCH(A55,Strength!$A$2:$A$76,0))</f>
        <v>54</v>
      </c>
      <c r="F55" s="27" t="s">
        <v>107</v>
      </c>
      <c r="G55" s="27" t="s">
        <v>110</v>
      </c>
      <c r="H55" s="19" t="n">
        <f aca="false">IF(ISERROR(INDEX('Events 2027'!$C$5:$C$9,MATCH(F55,'Events 2027'!$A$5:$A$9,0))),"",INDEX('Events 2027'!$C$5:$C$9,MATCH(F55,'Events 2027'!$A$5:$A$9,0)))</f>
        <v>2</v>
      </c>
      <c r="I55" s="19" t="n">
        <f aca="false">IF(ISERROR(INDEX('Events 2027'!$C$5:$C$9,MATCH(G55,'Events 2027'!$A$5:$A$9,0))),"",INDEX('Events 2027'!$C$5:$C$9,MATCH(G55,'Events 2027'!$A$5:$A$9,0)))</f>
        <v>4</v>
      </c>
      <c r="J55" s="26" t="n">
        <f aca="false">IF(ISERROR(ABS(I55-H55)),"",ABS(I55-H55))</f>
        <v>2</v>
      </c>
      <c r="K55" s="20" t="n">
        <f aca="false">IF(ISERROR(INDEX('Drive Times'!$D$12:$I$51,MATCH(C55,'Drive Times'!$A$12:$A$51,0),MATCH(F55,'Drive Times'!$D$11:$I$11,0))),"",INDEX('Drive Times'!$D$12:$I$51,MATCH(C55,'Drive Times'!$A$12:$A$51,0),MATCH(F55,'Drive Times'!$D$11:$I$11,0)))</f>
        <v>4.23755071896351</v>
      </c>
      <c r="L55" s="20" t="n">
        <f aca="false">IF(ISERROR(INDEX('Drive Times'!$D$12:$I$51,MATCH(C55,'Drive Times'!$A$12:$A$51,0),MATCH(G55,'Drive Times'!$D$11:$I$11,0))),"",INDEX('Drive Times'!$D$12:$I$51,MATCH(C55,'Drive Times'!$A$12:$A$51,0),MATCH(G55,'Drive Times'!$D$11:$I$11,0)))</f>
        <v>3.33316933750237</v>
      </c>
      <c r="M55" s="19" t="s">
        <v>233</v>
      </c>
      <c r="N55" s="19" t="n">
        <v>1</v>
      </c>
      <c r="O55" s="19" t="s">
        <v>207</v>
      </c>
      <c r="P55" s="28" t="s">
        <v>262</v>
      </c>
      <c r="Q55" s="19" t="s">
        <v>202</v>
      </c>
    </row>
    <row r="56" customFormat="false" ht="15" hidden="false" customHeight="false" outlineLevel="0" collapsed="false">
      <c r="A56" s="19" t="n">
        <v>10376</v>
      </c>
      <c r="B56" s="19" t="str">
        <f aca="false">INDEX(Strength!$B$2:$B$76,MATCH(A56,Strength!$A$2:$A$76,0))</f>
        <v>Plutonium Panthers</v>
      </c>
      <c r="C56" s="19" t="str">
        <f aca="false">INDEX(Strength!$C$2:$C$76,MATCH(A56,Strength!$A$2:$A$76,0))</f>
        <v>Augusta</v>
      </c>
      <c r="D56" s="20" t="n">
        <f aca="false">INDEX(Strength!$U$2:$U$76,MATCH(A56,Strength!$A$2:$A$76,0))</f>
        <v>21.1630036630037</v>
      </c>
      <c r="E56" s="19" t="n">
        <f aca="false">INDEX(Strength!$V$2:$V$76,MATCH(A56,Strength!$A$2:$A$76,0))</f>
        <v>55</v>
      </c>
      <c r="F56" s="27" t="s">
        <v>106</v>
      </c>
      <c r="G56" s="27" t="s">
        <v>110</v>
      </c>
      <c r="H56" s="19" t="n">
        <f aca="false">IF(ISERROR(INDEX('Events 2027'!$C$5:$C$9,MATCH(F56,'Events 2027'!$A$5:$A$9,0))),"",INDEX('Events 2027'!$C$5:$C$9,MATCH(F56,'Events 2027'!$A$5:$A$9,0)))</f>
        <v>1</v>
      </c>
      <c r="I56" s="19" t="n">
        <f aca="false">IF(ISERROR(INDEX('Events 2027'!$C$5:$C$9,MATCH(G56,'Events 2027'!$A$5:$A$9,0))),"",INDEX('Events 2027'!$C$5:$C$9,MATCH(G56,'Events 2027'!$A$5:$A$9,0)))</f>
        <v>4</v>
      </c>
      <c r="J56" s="26" t="n">
        <f aca="false">IF(ISERROR(ABS(I56-H56)),"",ABS(I56-H56))</f>
        <v>3</v>
      </c>
      <c r="K56" s="20" t="n">
        <f aca="false">IF(ISERROR(INDEX('Drive Times'!$D$12:$I$51,MATCH(C56,'Drive Times'!$A$12:$A$51,0),MATCH(F56,'Drive Times'!$D$11:$I$11,0))),"",INDEX('Drive Times'!$D$12:$I$51,MATCH(C56,'Drive Times'!$A$12:$A$51,0),MATCH(F56,'Drive Times'!$D$11:$I$11,0)))</f>
        <v>3.77211812733462</v>
      </c>
      <c r="L56" s="20" t="n">
        <f aca="false">IF(ISERROR(INDEX('Drive Times'!$D$12:$I$51,MATCH(C56,'Drive Times'!$A$12:$A$51,0),MATCH(G56,'Drive Times'!$D$11:$I$11,0))),"",INDEX('Drive Times'!$D$12:$I$51,MATCH(C56,'Drive Times'!$A$12:$A$51,0),MATCH(G56,'Drive Times'!$D$11:$I$11,0)))</f>
        <v>3.56958222628392</v>
      </c>
      <c r="M56" s="19" t="s">
        <v>214</v>
      </c>
      <c r="N56" s="19" t="n">
        <v>1</v>
      </c>
      <c r="O56" s="19" t="s">
        <v>204</v>
      </c>
      <c r="P56" s="28" t="s">
        <v>263</v>
      </c>
      <c r="Q56" s="19" t="s">
        <v>209</v>
      </c>
    </row>
    <row r="57" customFormat="false" ht="15" hidden="false" customHeight="false" outlineLevel="0" collapsed="false">
      <c r="A57" s="19" t="n">
        <v>7104</v>
      </c>
      <c r="B57" s="19" t="str">
        <f aca="false">INDEX(Strength!$B$2:$B$76,MATCH(A57,Strength!$A$2:$A$76,0))</f>
        <v>The Bot Brothers</v>
      </c>
      <c r="C57" s="19" t="str">
        <f aca="false">INDEX(Strength!$C$2:$C$76,MATCH(A57,Strength!$A$2:$A$76,0))</f>
        <v>Savannah</v>
      </c>
      <c r="D57" s="20" t="n">
        <f aca="false">INDEX(Strength!$U$2:$U$76,MATCH(A57,Strength!$A$2:$A$76,0))</f>
        <v>20.6753663003663</v>
      </c>
      <c r="E57" s="19" t="n">
        <f aca="false">INDEX(Strength!$V$2:$V$76,MATCH(A57,Strength!$A$2:$A$76,0))</f>
        <v>56</v>
      </c>
      <c r="F57" s="27" t="s">
        <v>110</v>
      </c>
      <c r="G57" s="27" t="s">
        <v>111</v>
      </c>
      <c r="H57" s="19" t="n">
        <f aca="false">IF(ISERROR(INDEX('Events 2027'!$C$5:$C$9,MATCH(F57,'Events 2027'!$A$5:$A$9,0))),"",INDEX('Events 2027'!$C$5:$C$9,MATCH(F57,'Events 2027'!$A$5:$A$9,0)))</f>
        <v>4</v>
      </c>
      <c r="I57" s="19" t="n">
        <f aca="false">IF(ISERROR(INDEX('Events 2027'!$C$5:$C$9,MATCH(G57,'Events 2027'!$A$5:$A$9,0))),"",INDEX('Events 2027'!$C$5:$C$9,MATCH(G57,'Events 2027'!$A$5:$A$9,0)))</f>
        <v>5</v>
      </c>
      <c r="J57" s="26" t="n">
        <f aca="false">IF(ISERROR(ABS(I57-H57)),"",ABS(I57-H57))</f>
        <v>1</v>
      </c>
      <c r="K57" s="20" t="n">
        <f aca="false">IF(ISERROR(INDEX('Drive Times'!$D$12:$I$51,MATCH(C57,'Drive Times'!$A$12:$A$51,0),MATCH(F57,'Drive Times'!$D$11:$I$11,0))),"",INDEX('Drive Times'!$D$12:$I$51,MATCH(C57,'Drive Times'!$A$12:$A$51,0),MATCH(F57,'Drive Times'!$D$11:$I$11,0)))</f>
        <v>3.58619729466056</v>
      </c>
      <c r="L57" s="20" t="n">
        <f aca="false">IF(ISERROR(INDEX('Drive Times'!$D$12:$I$51,MATCH(C57,'Drive Times'!$A$12:$A$51,0),MATCH(G57,'Drive Times'!$D$11:$I$11,0))),"",INDEX('Drive Times'!$D$12:$I$51,MATCH(C57,'Drive Times'!$A$12:$A$51,0),MATCH(G57,'Drive Times'!$D$11:$I$11,0)))</f>
        <v>4.65202707112456</v>
      </c>
      <c r="M57" s="19" t="s">
        <v>203</v>
      </c>
      <c r="N57" s="19" t="n">
        <v>1</v>
      </c>
      <c r="O57" s="19" t="s">
        <v>204</v>
      </c>
      <c r="P57" s="28" t="s">
        <v>264</v>
      </c>
      <c r="Q57" s="19" t="s">
        <v>206</v>
      </c>
    </row>
    <row r="58" customFormat="false" ht="15" hidden="false" customHeight="false" outlineLevel="0" collapsed="false">
      <c r="A58" s="19" t="n">
        <v>5074</v>
      </c>
      <c r="B58" s="19" t="str">
        <f aca="false">INDEX(Strength!$B$2:$B$76,MATCH(A58,Strength!$A$2:$A$76,0))</f>
        <v>RoboMustangs</v>
      </c>
      <c r="C58" s="19" t="str">
        <f aca="false">INDEX(Strength!$C$2:$C$76,MATCH(A58,Strength!$A$2:$A$76,0))</f>
        <v>Norcross</v>
      </c>
      <c r="D58" s="20" t="n">
        <f aca="false">INDEX(Strength!$U$2:$U$76,MATCH(A58,Strength!$A$2:$A$76,0))</f>
        <v>19.9587912087912</v>
      </c>
      <c r="E58" s="19" t="n">
        <f aca="false">INDEX(Strength!$V$2:$V$76,MATCH(A58,Strength!$A$2:$A$76,0))</f>
        <v>57</v>
      </c>
      <c r="F58" s="27" t="s">
        <v>108</v>
      </c>
      <c r="G58" s="27" t="s">
        <v>111</v>
      </c>
      <c r="H58" s="19" t="n">
        <f aca="false">IF(ISERROR(INDEX('Events 2027'!$C$5:$C$9,MATCH(F58,'Events 2027'!$A$5:$A$9,0))),"",INDEX('Events 2027'!$C$5:$C$9,MATCH(F58,'Events 2027'!$A$5:$A$9,0)))</f>
        <v>3</v>
      </c>
      <c r="I58" s="19" t="n">
        <f aca="false">IF(ISERROR(INDEX('Events 2027'!$C$5:$C$9,MATCH(G58,'Events 2027'!$A$5:$A$9,0))),"",INDEX('Events 2027'!$C$5:$C$9,MATCH(G58,'Events 2027'!$A$5:$A$9,0)))</f>
        <v>5</v>
      </c>
      <c r="J58" s="26" t="n">
        <f aca="false">IF(ISERROR(ABS(I58-H58)),"",ABS(I58-H58))</f>
        <v>2</v>
      </c>
      <c r="K58" s="20" t="n">
        <f aca="false">IF(ISERROR(INDEX('Drive Times'!$D$12:$I$51,MATCH(C58,'Drive Times'!$A$12:$A$51,0),MATCH(F58,'Drive Times'!$D$11:$I$11,0))),"",INDEX('Drive Times'!$D$12:$I$51,MATCH(C58,'Drive Times'!$A$12:$A$51,0),MATCH(F58,'Drive Times'!$D$11:$I$11,0)))</f>
        <v>0.465496114178186</v>
      </c>
      <c r="L58" s="20" t="n">
        <f aca="false">IF(ISERROR(INDEX('Drive Times'!$D$12:$I$51,MATCH(C58,'Drive Times'!$A$12:$A$51,0),MATCH(G58,'Drive Times'!$D$11:$I$11,0))),"",INDEX('Drive Times'!$D$12:$I$51,MATCH(C58,'Drive Times'!$A$12:$A$51,0),MATCH(G58,'Drive Times'!$D$11:$I$11,0)))</f>
        <v>0.837405698787644</v>
      </c>
      <c r="M58" s="19" t="s">
        <v>211</v>
      </c>
      <c r="N58" s="19" t="n">
        <v>1</v>
      </c>
      <c r="O58" s="19" t="s">
        <v>204</v>
      </c>
      <c r="P58" s="28" t="s">
        <v>265</v>
      </c>
      <c r="Q58" s="19" t="s">
        <v>253</v>
      </c>
    </row>
    <row r="59" customFormat="false" ht="15" hidden="false" customHeight="false" outlineLevel="0" collapsed="false">
      <c r="A59" s="19" t="n">
        <v>3318</v>
      </c>
      <c r="B59" s="19" t="str">
        <f aca="false">INDEX(Strength!$B$2:$B$76,MATCH(A59,Strength!$A$2:$A$76,0))</f>
        <v>RoboDragons</v>
      </c>
      <c r="C59" s="19" t="str">
        <f aca="false">INDEX(Strength!$C$2:$C$76,MATCH(A59,Strength!$A$2:$A$76,0))</f>
        <v>Lawrenceville</v>
      </c>
      <c r="D59" s="20" t="n">
        <f aca="false">INDEX(Strength!$U$2:$U$76,MATCH(A59,Strength!$A$2:$A$76,0))</f>
        <v>19.9107142857143</v>
      </c>
      <c r="E59" s="19" t="n">
        <f aca="false">INDEX(Strength!$V$2:$V$76,MATCH(A59,Strength!$A$2:$A$76,0))</f>
        <v>58</v>
      </c>
      <c r="F59" s="27" t="s">
        <v>107</v>
      </c>
      <c r="G59" s="27" t="s">
        <v>108</v>
      </c>
      <c r="H59" s="19" t="n">
        <f aca="false">IF(ISERROR(INDEX('Events 2027'!$C$5:$C$9,MATCH(F59,'Events 2027'!$A$5:$A$9,0))),"",INDEX('Events 2027'!$C$5:$C$9,MATCH(F59,'Events 2027'!$A$5:$A$9,0)))</f>
        <v>2</v>
      </c>
      <c r="I59" s="19" t="n">
        <f aca="false">IF(ISERROR(INDEX('Events 2027'!$C$5:$C$9,MATCH(G59,'Events 2027'!$A$5:$A$9,0))),"",INDEX('Events 2027'!$C$5:$C$9,MATCH(G59,'Events 2027'!$A$5:$A$9,0)))</f>
        <v>3</v>
      </c>
      <c r="J59" s="26" t="n">
        <f aca="false">IF(ISERROR(ABS(I59-H59)),"",ABS(I59-H59))</f>
        <v>1</v>
      </c>
      <c r="K59" s="20" t="n">
        <f aca="false">IF(ISERROR(INDEX('Drive Times'!$D$12:$I$51,MATCH(C59,'Drive Times'!$A$12:$A$51,0),MATCH(F59,'Drive Times'!$D$11:$I$11,0))),"",INDEX('Drive Times'!$D$12:$I$51,MATCH(C59,'Drive Times'!$A$12:$A$51,0),MATCH(F59,'Drive Times'!$D$11:$I$11,0)))</f>
        <v>0.693318872805136</v>
      </c>
      <c r="L59" s="20" t="n">
        <f aca="false">IF(ISERROR(INDEX('Drive Times'!$D$12:$I$51,MATCH(C59,'Drive Times'!$A$12:$A$51,0),MATCH(G59,'Drive Times'!$D$11:$I$11,0))),"",INDEX('Drive Times'!$D$12:$I$51,MATCH(C59,'Drive Times'!$A$12:$A$51,0),MATCH(G59,'Drive Times'!$D$11:$I$11,0)))</f>
        <v>0</v>
      </c>
      <c r="M59" s="19" t="s">
        <v>199</v>
      </c>
      <c r="N59" s="19" t="n">
        <v>2</v>
      </c>
      <c r="O59" s="19" t="s">
        <v>200</v>
      </c>
      <c r="P59" s="28" t="s">
        <v>266</v>
      </c>
      <c r="Q59" s="19" t="s">
        <v>213</v>
      </c>
    </row>
    <row r="60" customFormat="false" ht="15" hidden="false" customHeight="false" outlineLevel="0" collapsed="false">
      <c r="A60" s="19" t="n">
        <v>5293</v>
      </c>
      <c r="B60" s="19" t="str">
        <f aca="false">INDEX(Strength!$B$2:$B$76,MATCH(A60,Strength!$A$2:$A$76,0))</f>
        <v>Metal Crusaders</v>
      </c>
      <c r="C60" s="19" t="str">
        <f aca="false">INDEX(Strength!$C$2:$C$76,MATCH(A60,Strength!$A$2:$A$76,0))</f>
        <v>Duluth</v>
      </c>
      <c r="D60" s="20" t="n">
        <f aca="false">INDEX(Strength!$U$2:$U$76,MATCH(A60,Strength!$A$2:$A$76,0))</f>
        <v>18.6000955566173</v>
      </c>
      <c r="E60" s="19" t="n">
        <f aca="false">INDEX(Strength!$V$2:$V$76,MATCH(A60,Strength!$A$2:$A$76,0))</f>
        <v>59</v>
      </c>
      <c r="F60" s="27" t="s">
        <v>107</v>
      </c>
      <c r="G60" s="27" t="s">
        <v>108</v>
      </c>
      <c r="H60" s="19" t="n">
        <f aca="false">IF(ISERROR(INDEX('Events 2027'!$C$5:$C$9,MATCH(F60,'Events 2027'!$A$5:$A$9,0))),"",INDEX('Events 2027'!$C$5:$C$9,MATCH(F60,'Events 2027'!$A$5:$A$9,0)))</f>
        <v>2</v>
      </c>
      <c r="I60" s="19" t="n">
        <f aca="false">IF(ISERROR(INDEX('Events 2027'!$C$5:$C$9,MATCH(G60,'Events 2027'!$A$5:$A$9,0))),"",INDEX('Events 2027'!$C$5:$C$9,MATCH(G60,'Events 2027'!$A$5:$A$9,0)))</f>
        <v>3</v>
      </c>
      <c r="J60" s="26" t="n">
        <f aca="false">IF(ISERROR(ABS(I60-H60)),"",ABS(I60-H60))</f>
        <v>1</v>
      </c>
      <c r="K60" s="20" t="n">
        <f aca="false">IF(ISERROR(INDEX('Drive Times'!$D$12:$I$51,MATCH(C60,'Drive Times'!$A$12:$A$51,0),MATCH(F60,'Drive Times'!$D$11:$I$11,0))),"",INDEX('Drive Times'!$D$12:$I$51,MATCH(C60,'Drive Times'!$A$12:$A$51,0),MATCH(F60,'Drive Times'!$D$11:$I$11,0)))</f>
        <v>0.730074127296325</v>
      </c>
      <c r="L60" s="20" t="n">
        <f aca="false">IF(ISERROR(INDEX('Drive Times'!$D$12:$I$51,MATCH(C60,'Drive Times'!$A$12:$A$51,0),MATCH(G60,'Drive Times'!$D$11:$I$11,0))),"",INDEX('Drive Times'!$D$12:$I$51,MATCH(C60,'Drive Times'!$A$12:$A$51,0),MATCH(G60,'Drive Times'!$D$11:$I$11,0)))</f>
        <v>0.402600942398191</v>
      </c>
      <c r="M60" s="19" t="s">
        <v>199</v>
      </c>
      <c r="N60" s="19" t="n">
        <v>2</v>
      </c>
      <c r="O60" s="19" t="s">
        <v>200</v>
      </c>
      <c r="P60" s="28" t="s">
        <v>267</v>
      </c>
      <c r="Q60" s="19" t="s">
        <v>213</v>
      </c>
    </row>
    <row r="61" customFormat="false" ht="15" hidden="false" customHeight="false" outlineLevel="0" collapsed="false">
      <c r="A61" s="19" t="n">
        <v>7676</v>
      </c>
      <c r="B61" s="19" t="str">
        <f aca="false">INDEX(Strength!$B$2:$B$76,MATCH(A61,Strength!$A$2:$A$76,0))</f>
        <v>THS RoboDogs</v>
      </c>
      <c r="C61" s="19" t="str">
        <f aca="false">INDEX(Strength!$C$2:$C$76,MATCH(A61,Strength!$A$2:$A$76,0))</f>
        <v>Thomson</v>
      </c>
      <c r="D61" s="20" t="n">
        <f aca="false">INDEX(Strength!$U$2:$U$76,MATCH(A61,Strength!$A$2:$A$76,0))</f>
        <v>17.827380952381</v>
      </c>
      <c r="E61" s="19" t="n">
        <f aca="false">INDEX(Strength!$V$2:$V$76,MATCH(A61,Strength!$A$2:$A$76,0))</f>
        <v>60</v>
      </c>
      <c r="F61" s="27" t="s">
        <v>106</v>
      </c>
      <c r="G61" s="27" t="s">
        <v>111</v>
      </c>
      <c r="H61" s="19" t="n">
        <f aca="false">IF(ISERROR(INDEX('Events 2027'!$C$5:$C$9,MATCH(F61,'Events 2027'!$A$5:$A$9,0))),"",INDEX('Events 2027'!$C$5:$C$9,MATCH(F61,'Events 2027'!$A$5:$A$9,0)))</f>
        <v>1</v>
      </c>
      <c r="I61" s="19" t="n">
        <f aca="false">IF(ISERROR(INDEX('Events 2027'!$C$5:$C$9,MATCH(G61,'Events 2027'!$A$5:$A$9,0))),"",INDEX('Events 2027'!$C$5:$C$9,MATCH(G61,'Events 2027'!$A$5:$A$9,0)))</f>
        <v>5</v>
      </c>
      <c r="J61" s="26" t="n">
        <f aca="false">IF(ISERROR(ABS(I61-H61)),"",ABS(I61-H61))</f>
        <v>4</v>
      </c>
      <c r="K61" s="20" t="n">
        <f aca="false">IF(ISERROR(INDEX('Drive Times'!$D$12:$I$51,MATCH(C61,'Drive Times'!$A$12:$A$51,0),MATCH(F61,'Drive Times'!$D$11:$I$11,0))),"",INDEX('Drive Times'!$D$12:$I$51,MATCH(C61,'Drive Times'!$A$12:$A$51,0),MATCH(F61,'Drive Times'!$D$11:$I$11,0)))</f>
        <v>3.29172125926675</v>
      </c>
      <c r="L61" s="20" t="n">
        <f aca="false">IF(ISERROR(INDEX('Drive Times'!$D$12:$I$51,MATCH(C61,'Drive Times'!$A$12:$A$51,0),MATCH(G61,'Drive Times'!$D$11:$I$11,0))),"",INDEX('Drive Times'!$D$12:$I$51,MATCH(C61,'Drive Times'!$A$12:$A$51,0),MATCH(G61,'Drive Times'!$D$11:$I$11,0)))</f>
        <v>2.61949578653708</v>
      </c>
      <c r="M61" s="19" t="s">
        <v>214</v>
      </c>
      <c r="N61" s="19" t="n">
        <v>1</v>
      </c>
      <c r="O61" s="19" t="s">
        <v>204</v>
      </c>
      <c r="P61" s="28" t="s">
        <v>268</v>
      </c>
      <c r="Q61" s="19" t="s">
        <v>209</v>
      </c>
    </row>
    <row r="62" customFormat="false" ht="15" hidden="false" customHeight="false" outlineLevel="0" collapsed="false">
      <c r="A62" s="19" t="n">
        <v>8100</v>
      </c>
      <c r="B62" s="19" t="str">
        <f aca="false">INDEX(Strength!$B$2:$B$76,MATCH(A62,Strength!$A$2:$A$76,0))</f>
        <v>Grayson Robotics</v>
      </c>
      <c r="C62" s="19" t="str">
        <f aca="false">INDEX(Strength!$C$2:$C$76,MATCH(A62,Strength!$A$2:$A$76,0))</f>
        <v>Grayson</v>
      </c>
      <c r="D62" s="20" t="n">
        <f aca="false">INDEX(Strength!$U$2:$U$76,MATCH(A62,Strength!$A$2:$A$76,0))</f>
        <v>17.4358974358974</v>
      </c>
      <c r="E62" s="19" t="n">
        <f aca="false">INDEX(Strength!$V$2:$V$76,MATCH(A62,Strength!$A$2:$A$76,0))</f>
        <v>61</v>
      </c>
      <c r="F62" s="27" t="s">
        <v>108</v>
      </c>
      <c r="G62" s="27" t="s">
        <v>111</v>
      </c>
      <c r="H62" s="19" t="n">
        <f aca="false">IF(ISERROR(INDEX('Events 2027'!$C$5:$C$9,MATCH(F62,'Events 2027'!$A$5:$A$9,0))),"",INDEX('Events 2027'!$C$5:$C$9,MATCH(F62,'Events 2027'!$A$5:$A$9,0)))</f>
        <v>3</v>
      </c>
      <c r="I62" s="19" t="n">
        <f aca="false">IF(ISERROR(INDEX('Events 2027'!$C$5:$C$9,MATCH(G62,'Events 2027'!$A$5:$A$9,0))),"",INDEX('Events 2027'!$C$5:$C$9,MATCH(G62,'Events 2027'!$A$5:$A$9,0)))</f>
        <v>5</v>
      </c>
      <c r="J62" s="26" t="n">
        <f aca="false">IF(ISERROR(ABS(I62-H62)),"",ABS(I62-H62))</f>
        <v>2</v>
      </c>
      <c r="K62" s="20" t="n">
        <f aca="false">IF(ISERROR(INDEX('Drive Times'!$D$12:$I$51,MATCH(C62,'Drive Times'!$A$12:$A$51,0),MATCH(F62,'Drive Times'!$D$11:$I$11,0))),"",INDEX('Drive Times'!$D$12:$I$51,MATCH(C62,'Drive Times'!$A$12:$A$51,0),MATCH(F62,'Drive Times'!$D$11:$I$11,0)))</f>
        <v>0.31272073394118</v>
      </c>
      <c r="L62" s="20" t="n">
        <f aca="false">IF(ISERROR(INDEX('Drive Times'!$D$12:$I$51,MATCH(C62,'Drive Times'!$A$12:$A$51,0),MATCH(G62,'Drive Times'!$D$11:$I$11,0))),"",INDEX('Drive Times'!$D$12:$I$51,MATCH(C62,'Drive Times'!$A$12:$A$51,0),MATCH(G62,'Drive Times'!$D$11:$I$11,0)))</f>
        <v>1.07903433420994</v>
      </c>
      <c r="M62" s="19" t="s">
        <v>211</v>
      </c>
      <c r="N62" s="19" t="n">
        <v>1</v>
      </c>
      <c r="O62" s="19" t="s">
        <v>204</v>
      </c>
      <c r="P62" s="28" t="s">
        <v>269</v>
      </c>
      <c r="Q62" s="19" t="s">
        <v>253</v>
      </c>
    </row>
    <row r="63" customFormat="false" ht="15" hidden="false" customHeight="false" outlineLevel="0" collapsed="false">
      <c r="A63" s="19" t="n">
        <v>4468</v>
      </c>
      <c r="B63" s="19" t="str">
        <f aca="false">INDEX(Strength!$B$2:$B$76,MATCH(A63,Strength!$A$2:$A$76,0))</f>
        <v>Fernbank LINKS</v>
      </c>
      <c r="C63" s="19" t="str">
        <f aca="false">INDEX(Strength!$C$2:$C$76,MATCH(A63,Strength!$A$2:$A$76,0))</f>
        <v>Atlanta</v>
      </c>
      <c r="D63" s="20" t="n">
        <f aca="false">INDEX(Strength!$U$2:$U$76,MATCH(A63,Strength!$A$2:$A$76,0))</f>
        <v>13.7568681318681</v>
      </c>
      <c r="E63" s="19" t="n">
        <f aca="false">INDEX(Strength!$V$2:$V$76,MATCH(A63,Strength!$A$2:$A$76,0))</f>
        <v>62</v>
      </c>
      <c r="F63" s="27" t="s">
        <v>108</v>
      </c>
      <c r="G63" s="27" t="s">
        <v>111</v>
      </c>
      <c r="H63" s="19" t="n">
        <f aca="false">IF(ISERROR(INDEX('Events 2027'!$C$5:$C$9,MATCH(F63,'Events 2027'!$A$5:$A$9,0))),"",INDEX('Events 2027'!$C$5:$C$9,MATCH(F63,'Events 2027'!$A$5:$A$9,0)))</f>
        <v>3</v>
      </c>
      <c r="I63" s="19" t="n">
        <f aca="false">IF(ISERROR(INDEX('Events 2027'!$C$5:$C$9,MATCH(G63,'Events 2027'!$A$5:$A$9,0))),"",INDEX('Events 2027'!$C$5:$C$9,MATCH(G63,'Events 2027'!$A$5:$A$9,0)))</f>
        <v>5</v>
      </c>
      <c r="J63" s="26" t="n">
        <f aca="false">IF(ISERROR(ABS(I63-H63)),"",ABS(I63-H63))</f>
        <v>2</v>
      </c>
      <c r="K63" s="20" t="n">
        <f aca="false">IF(ISERROR(INDEX('Drive Times'!$D$12:$I$51,MATCH(C63,'Drive Times'!$A$12:$A$51,0),MATCH(F63,'Drive Times'!$D$11:$I$11,0))),"",INDEX('Drive Times'!$D$12:$I$51,MATCH(C63,'Drive Times'!$A$12:$A$51,0),MATCH(F63,'Drive Times'!$D$11:$I$11,0)))</f>
        <v>0.723013572465791</v>
      </c>
      <c r="L63" s="20" t="n">
        <f aca="false">IF(ISERROR(INDEX('Drive Times'!$D$12:$I$51,MATCH(C63,'Drive Times'!$A$12:$A$51,0),MATCH(G63,'Drive Times'!$D$11:$I$11,0))),"",INDEX('Drive Times'!$D$12:$I$51,MATCH(C63,'Drive Times'!$A$12:$A$51,0),MATCH(G63,'Drive Times'!$D$11:$I$11,0)))</f>
        <v>0.605353926696783</v>
      </c>
      <c r="M63" s="19" t="s">
        <v>270</v>
      </c>
      <c r="N63" s="19" t="n">
        <v>1</v>
      </c>
      <c r="O63" s="19" t="s">
        <v>207</v>
      </c>
      <c r="P63" s="28" t="s">
        <v>271</v>
      </c>
      <c r="Q63" s="19" t="s">
        <v>209</v>
      </c>
    </row>
    <row r="64" customFormat="false" ht="15" hidden="false" customHeight="false" outlineLevel="0" collapsed="false">
      <c r="A64" s="19" t="n">
        <v>10338</v>
      </c>
      <c r="B64" s="19" t="str">
        <f aca="false">INDEX(Strength!$B$2:$B$76,MATCH(A64,Strength!$A$2:$A$76,0))</f>
        <v>CircuitMakers</v>
      </c>
      <c r="C64" s="19" t="str">
        <f aca="false">INDEX(Strength!$C$2:$C$76,MATCH(A64,Strength!$A$2:$A$76,0))</f>
        <v>Cairo</v>
      </c>
      <c r="D64" s="20" t="n">
        <f aca="false">INDEX(Strength!$U$2:$U$76,MATCH(A64,Strength!$A$2:$A$76,0))</f>
        <v>12.8777472527473</v>
      </c>
      <c r="E64" s="19" t="n">
        <f aca="false">INDEX(Strength!$V$2:$V$76,MATCH(A64,Strength!$A$2:$A$76,0))</f>
        <v>63</v>
      </c>
      <c r="F64" s="27" t="s">
        <v>110</v>
      </c>
      <c r="G64" s="27" t="s">
        <v>111</v>
      </c>
      <c r="H64" s="19" t="n">
        <f aca="false">IF(ISERROR(INDEX('Events 2027'!$C$5:$C$9,MATCH(F64,'Events 2027'!$A$5:$A$9,0))),"",INDEX('Events 2027'!$C$5:$C$9,MATCH(F64,'Events 2027'!$A$5:$A$9,0)))</f>
        <v>4</v>
      </c>
      <c r="I64" s="19" t="n">
        <f aca="false">IF(ISERROR(INDEX('Events 2027'!$C$5:$C$9,MATCH(G64,'Events 2027'!$A$5:$A$9,0))),"",INDEX('Events 2027'!$C$5:$C$9,MATCH(G64,'Events 2027'!$A$5:$A$9,0)))</f>
        <v>5</v>
      </c>
      <c r="J64" s="26" t="n">
        <f aca="false">IF(ISERROR(ABS(I64-H64)),"",ABS(I64-H64))</f>
        <v>1</v>
      </c>
      <c r="K64" s="20" t="n">
        <f aca="false">IF(ISERROR(INDEX('Drive Times'!$D$12:$I$51,MATCH(C64,'Drive Times'!$A$12:$A$51,0),MATCH(F64,'Drive Times'!$D$11:$I$11,0))),"",INDEX('Drive Times'!$D$12:$I$51,MATCH(C64,'Drive Times'!$A$12:$A$51,0),MATCH(F64,'Drive Times'!$D$11:$I$11,0)))</f>
        <v>1.11524488920636</v>
      </c>
      <c r="L64" s="20" t="n">
        <f aca="false">IF(ISERROR(INDEX('Drive Times'!$D$12:$I$51,MATCH(C64,'Drive Times'!$A$12:$A$51,0),MATCH(G64,'Drive Times'!$D$11:$I$11,0))),"",INDEX('Drive Times'!$D$12:$I$51,MATCH(C64,'Drive Times'!$A$12:$A$51,0),MATCH(G64,'Drive Times'!$D$11:$I$11,0)))</f>
        <v>3.91238135399805</v>
      </c>
      <c r="M64" s="19" t="s">
        <v>138</v>
      </c>
      <c r="N64" s="19" t="n">
        <v>1</v>
      </c>
      <c r="O64" s="19" t="s">
        <v>204</v>
      </c>
      <c r="P64" s="28" t="s">
        <v>272</v>
      </c>
      <c r="Q64" s="19" t="s">
        <v>273</v>
      </c>
    </row>
    <row r="65" customFormat="false" ht="15" hidden="false" customHeight="false" outlineLevel="0" collapsed="false">
      <c r="A65" s="19" t="n">
        <v>9057</v>
      </c>
      <c r="B65" s="19" t="str">
        <f aca="false">INDEX(Strength!$B$2:$B$76,MATCH(A65,Strength!$A$2:$A$76,0))</f>
        <v>G.I.R.L.</v>
      </c>
      <c r="C65" s="19" t="str">
        <f aca="false">INDEX(Strength!$C$2:$C$76,MATCH(A65,Strength!$A$2:$A$76,0))</f>
        <v>Atlanta</v>
      </c>
      <c r="D65" s="20" t="n">
        <f aca="false">INDEX(Strength!$U$2:$U$76,MATCH(A65,Strength!$A$2:$A$76,0))</f>
        <v>11.6735347985348</v>
      </c>
      <c r="E65" s="19" t="n">
        <f aca="false">INDEX(Strength!$V$2:$V$76,MATCH(A65,Strength!$A$2:$A$76,0))</f>
        <v>64</v>
      </c>
      <c r="F65" s="27" t="s">
        <v>108</v>
      </c>
      <c r="G65" s="27" t="s">
        <v>111</v>
      </c>
      <c r="H65" s="19" t="n">
        <f aca="false">IF(ISERROR(INDEX('Events 2027'!$C$5:$C$9,MATCH(F65,'Events 2027'!$A$5:$A$9,0))),"",INDEX('Events 2027'!$C$5:$C$9,MATCH(F65,'Events 2027'!$A$5:$A$9,0)))</f>
        <v>3</v>
      </c>
      <c r="I65" s="19" t="n">
        <f aca="false">IF(ISERROR(INDEX('Events 2027'!$C$5:$C$9,MATCH(G65,'Events 2027'!$A$5:$A$9,0))),"",INDEX('Events 2027'!$C$5:$C$9,MATCH(G65,'Events 2027'!$A$5:$A$9,0)))</f>
        <v>5</v>
      </c>
      <c r="J65" s="26" t="n">
        <f aca="false">IF(ISERROR(ABS(I65-H65)),"",ABS(I65-H65))</f>
        <v>2</v>
      </c>
      <c r="K65" s="20" t="n">
        <f aca="false">IF(ISERROR(INDEX('Drive Times'!$D$12:$I$51,MATCH(C65,'Drive Times'!$A$12:$A$51,0),MATCH(F65,'Drive Times'!$D$11:$I$11,0))),"",INDEX('Drive Times'!$D$12:$I$51,MATCH(C65,'Drive Times'!$A$12:$A$51,0),MATCH(F65,'Drive Times'!$D$11:$I$11,0)))</f>
        <v>0.723013572465791</v>
      </c>
      <c r="L65" s="20" t="n">
        <f aca="false">IF(ISERROR(INDEX('Drive Times'!$D$12:$I$51,MATCH(C65,'Drive Times'!$A$12:$A$51,0),MATCH(G65,'Drive Times'!$D$11:$I$11,0))),"",INDEX('Drive Times'!$D$12:$I$51,MATCH(C65,'Drive Times'!$A$12:$A$51,0),MATCH(G65,'Drive Times'!$D$11:$I$11,0)))</f>
        <v>0.605353926696783</v>
      </c>
      <c r="M65" s="19" t="s">
        <v>270</v>
      </c>
      <c r="N65" s="19" t="n">
        <v>1</v>
      </c>
      <c r="O65" s="19" t="s">
        <v>207</v>
      </c>
      <c r="P65" s="28" t="s">
        <v>271</v>
      </c>
      <c r="Q65" s="19" t="s">
        <v>209</v>
      </c>
    </row>
    <row r="66" customFormat="false" ht="15" hidden="false" customHeight="false" outlineLevel="0" collapsed="false">
      <c r="A66" s="19" t="n">
        <v>7538</v>
      </c>
      <c r="B66" s="19" t="str">
        <f aca="false">INDEX(Strength!$B$2:$B$76,MATCH(A66,Strength!$A$2:$A$76,0))</f>
        <v>Metal Mountain</v>
      </c>
      <c r="C66" s="19" t="str">
        <f aca="false">INDEX(Strength!$C$2:$C$76,MATCH(A66,Strength!$A$2:$A$76,0))</f>
        <v>Lawrenceville</v>
      </c>
      <c r="D66" s="20" t="n">
        <f aca="false">INDEX(Strength!$U$2:$U$76,MATCH(A66,Strength!$A$2:$A$76,0))</f>
        <v>11.1195054945055</v>
      </c>
      <c r="E66" s="19" t="n">
        <f aca="false">INDEX(Strength!$V$2:$V$76,MATCH(A66,Strength!$A$2:$A$76,0))</f>
        <v>65</v>
      </c>
      <c r="F66" s="27" t="s">
        <v>108</v>
      </c>
      <c r="G66" s="27" t="s">
        <v>110</v>
      </c>
      <c r="H66" s="19" t="n">
        <f aca="false">IF(ISERROR(INDEX('Events 2027'!$C$5:$C$9,MATCH(F66,'Events 2027'!$A$5:$A$9,0))),"",INDEX('Events 2027'!$C$5:$C$9,MATCH(F66,'Events 2027'!$A$5:$A$9,0)))</f>
        <v>3</v>
      </c>
      <c r="I66" s="19" t="n">
        <f aca="false">IF(ISERROR(INDEX('Events 2027'!$C$5:$C$9,MATCH(G66,'Events 2027'!$A$5:$A$9,0))),"",INDEX('Events 2027'!$C$5:$C$9,MATCH(G66,'Events 2027'!$A$5:$A$9,0)))</f>
        <v>4</v>
      </c>
      <c r="J66" s="26" t="n">
        <f aca="false">IF(ISERROR(ABS(I66-H66)),"",ABS(I66-H66))</f>
        <v>1</v>
      </c>
      <c r="K66" s="20" t="n">
        <f aca="false">IF(ISERROR(INDEX('Drive Times'!$D$12:$I$51,MATCH(C66,'Drive Times'!$A$12:$A$51,0),MATCH(F66,'Drive Times'!$D$11:$I$11,0))),"",INDEX('Drive Times'!$D$12:$I$51,MATCH(C66,'Drive Times'!$A$12:$A$51,0),MATCH(F66,'Drive Times'!$D$11:$I$11,0)))</f>
        <v>0</v>
      </c>
      <c r="L66" s="20" t="n">
        <f aca="false">IF(ISERROR(INDEX('Drive Times'!$D$12:$I$51,MATCH(C66,'Drive Times'!$A$12:$A$51,0),MATCH(G66,'Drive Times'!$D$11:$I$11,0))),"",INDEX('Drive Times'!$D$12:$I$51,MATCH(C66,'Drive Times'!$A$12:$A$51,0),MATCH(G66,'Drive Times'!$D$11:$I$11,0)))</f>
        <v>3.24433243412979</v>
      </c>
      <c r="M66" s="19" t="s">
        <v>211</v>
      </c>
      <c r="N66" s="19" t="n">
        <v>2</v>
      </c>
      <c r="O66" s="19" t="s">
        <v>204</v>
      </c>
      <c r="P66" s="28" t="s">
        <v>274</v>
      </c>
      <c r="Q66" s="19" t="s">
        <v>235</v>
      </c>
    </row>
    <row r="67" customFormat="false" ht="15" hidden="false" customHeight="false" outlineLevel="0" collapsed="false">
      <c r="A67" s="19" t="n">
        <v>6712</v>
      </c>
      <c r="B67" s="19" t="str">
        <f aca="false">INDEX(Strength!$B$2:$B$76,MATCH(A67,Strength!$A$2:$A$76,0))</f>
        <v>Mountaineers</v>
      </c>
      <c r="C67" s="19" t="str">
        <f aca="false">INDEX(Strength!$C$2:$C$76,MATCH(A67,Strength!$A$2:$A$76,0))</f>
        <v>Chatsworth</v>
      </c>
      <c r="D67" s="20" t="n">
        <f aca="false">INDEX(Strength!$U$2:$U$76,MATCH(A67,Strength!$A$2:$A$76,0))</f>
        <v>10.8424908424908</v>
      </c>
      <c r="E67" s="19" t="n">
        <f aca="false">INDEX(Strength!$V$2:$V$76,MATCH(A67,Strength!$A$2:$A$76,0))</f>
        <v>66</v>
      </c>
      <c r="F67" s="27" t="s">
        <v>106</v>
      </c>
      <c r="G67" s="27" t="s">
        <v>107</v>
      </c>
      <c r="H67" s="19" t="n">
        <f aca="false">IF(ISERROR(INDEX('Events 2027'!$C$5:$C$9,MATCH(F67,'Events 2027'!$A$5:$A$9,0))),"",INDEX('Events 2027'!$C$5:$C$9,MATCH(F67,'Events 2027'!$A$5:$A$9,0)))</f>
        <v>1</v>
      </c>
      <c r="I67" s="19" t="n">
        <f aca="false">IF(ISERROR(INDEX('Events 2027'!$C$5:$C$9,MATCH(G67,'Events 2027'!$A$5:$A$9,0))),"",INDEX('Events 2027'!$C$5:$C$9,MATCH(G67,'Events 2027'!$A$5:$A$9,0)))</f>
        <v>2</v>
      </c>
      <c r="J67" s="26" t="n">
        <f aca="false">IF(ISERROR(ABS(I67-H67)),"",ABS(I67-H67))</f>
        <v>1</v>
      </c>
      <c r="K67" s="20" t="n">
        <f aca="false">IF(ISERROR(INDEX('Drive Times'!$D$12:$I$51,MATCH(C67,'Drive Times'!$A$12:$A$51,0),MATCH(F67,'Drive Times'!$D$11:$I$11,0))),"",INDEX('Drive Times'!$D$12:$I$51,MATCH(C67,'Drive Times'!$A$12:$A$51,0),MATCH(F67,'Drive Times'!$D$11:$I$11,0)))</f>
        <v>0.43543856459649</v>
      </c>
      <c r="L67" s="20" t="n">
        <f aca="false">IF(ISERROR(INDEX('Drive Times'!$D$12:$I$51,MATCH(C67,'Drive Times'!$A$12:$A$51,0),MATCH(G67,'Drive Times'!$D$11:$I$11,0))),"",INDEX('Drive Times'!$D$12:$I$51,MATCH(C67,'Drive Times'!$A$12:$A$51,0),MATCH(G67,'Drive Times'!$D$11:$I$11,0)))</f>
        <v>1.3785968679411</v>
      </c>
      <c r="M67" s="19" t="s">
        <v>240</v>
      </c>
      <c r="N67" s="19" t="n">
        <v>2</v>
      </c>
      <c r="O67" s="19" t="s">
        <v>200</v>
      </c>
      <c r="P67" s="28" t="s">
        <v>275</v>
      </c>
      <c r="Q67" s="19" t="s">
        <v>209</v>
      </c>
    </row>
    <row r="68" customFormat="false" ht="15" hidden="false" customHeight="false" outlineLevel="0" collapsed="false">
      <c r="A68" s="19" t="n">
        <v>8761</v>
      </c>
      <c r="B68" s="19" t="str">
        <f aca="false">INDEX(Strength!$B$2:$B$76,MATCH(A68,Strength!$A$2:$A$76,0))</f>
        <v>AHS TigerByte8761</v>
      </c>
      <c r="C68" s="19" t="str">
        <f aca="false">INDEX(Strength!$C$2:$C$76,MATCH(A68,Strength!$A$2:$A$76,0))</f>
        <v>Adairsville</v>
      </c>
      <c r="D68" s="20" t="n">
        <f aca="false">INDEX(Strength!$U$2:$U$76,MATCH(A68,Strength!$A$2:$A$76,0))</f>
        <v>10.2403846153846</v>
      </c>
      <c r="E68" s="19" t="n">
        <f aca="false">INDEX(Strength!$V$2:$V$76,MATCH(A68,Strength!$A$2:$A$76,0))</f>
        <v>67</v>
      </c>
      <c r="F68" s="27" t="s">
        <v>106</v>
      </c>
      <c r="G68" s="27" t="s">
        <v>107</v>
      </c>
      <c r="H68" s="19" t="n">
        <f aca="false">IF(ISERROR(INDEX('Events 2027'!$C$5:$C$9,MATCH(F68,'Events 2027'!$A$5:$A$9,0))),"",INDEX('Events 2027'!$C$5:$C$9,MATCH(F68,'Events 2027'!$A$5:$A$9,0)))</f>
        <v>1</v>
      </c>
      <c r="I68" s="19" t="n">
        <f aca="false">IF(ISERROR(INDEX('Events 2027'!$C$5:$C$9,MATCH(G68,'Events 2027'!$A$5:$A$9,0))),"",INDEX('Events 2027'!$C$5:$C$9,MATCH(G68,'Events 2027'!$A$5:$A$9,0)))</f>
        <v>2</v>
      </c>
      <c r="J68" s="26" t="n">
        <f aca="false">IF(ISERROR(ABS(I68-H68)),"",ABS(I68-H68))</f>
        <v>1</v>
      </c>
      <c r="K68" s="20" t="n">
        <f aca="false">IF(ISERROR(INDEX('Drive Times'!$D$12:$I$51,MATCH(C68,'Drive Times'!$A$12:$A$51,0),MATCH(F68,'Drive Times'!$D$11:$I$11,0))),"",INDEX('Drive Times'!$D$12:$I$51,MATCH(C68,'Drive Times'!$A$12:$A$51,0),MATCH(F68,'Drive Times'!$D$11:$I$11,0)))</f>
        <v>0.736550193232247</v>
      </c>
      <c r="L68" s="20" t="n">
        <f aca="false">IF(ISERROR(INDEX('Drive Times'!$D$12:$I$51,MATCH(C68,'Drive Times'!$A$12:$A$51,0),MATCH(G68,'Drive Times'!$D$11:$I$11,0))),"",INDEX('Drive Times'!$D$12:$I$51,MATCH(C68,'Drive Times'!$A$12:$A$51,0),MATCH(G68,'Drive Times'!$D$11:$I$11,0)))</f>
        <v>1.39164466568522</v>
      </c>
      <c r="M68" s="19" t="s">
        <v>240</v>
      </c>
      <c r="N68" s="19" t="n">
        <v>2</v>
      </c>
      <c r="O68" s="19" t="s">
        <v>207</v>
      </c>
      <c r="P68" s="28" t="s">
        <v>276</v>
      </c>
      <c r="Q68" s="19" t="s">
        <v>277</v>
      </c>
    </row>
    <row r="69" customFormat="false" ht="15" hidden="false" customHeight="false" outlineLevel="0" collapsed="false">
      <c r="A69" s="19" t="n">
        <v>4240</v>
      </c>
      <c r="B69" s="19" t="str">
        <f aca="false">INDEX(Strength!$B$2:$B$76,MATCH(A69,Strength!$A$2:$A$76,0))</f>
        <v>TroTek Warriors</v>
      </c>
      <c r="C69" s="19" t="str">
        <f aca="false">INDEX(Strength!$C$2:$C$76,MATCH(A69,Strength!$A$2:$A$76,0))</f>
        <v>Albany</v>
      </c>
      <c r="D69" s="20" t="n">
        <f aca="false">INDEX(Strength!$U$2:$U$76,MATCH(A69,Strength!$A$2:$A$76,0))</f>
        <v>8.75915750915751</v>
      </c>
      <c r="E69" s="19" t="n">
        <f aca="false">INDEX(Strength!$V$2:$V$76,MATCH(A69,Strength!$A$2:$A$76,0))</f>
        <v>68</v>
      </c>
      <c r="F69" s="27" t="s">
        <v>110</v>
      </c>
      <c r="G69" s="27" t="s">
        <v>111</v>
      </c>
      <c r="H69" s="19" t="n">
        <f aca="false">IF(ISERROR(INDEX('Events 2027'!$C$5:$C$9,MATCH(F69,'Events 2027'!$A$5:$A$9,0))),"",INDEX('Events 2027'!$C$5:$C$9,MATCH(F69,'Events 2027'!$A$5:$A$9,0)))</f>
        <v>4</v>
      </c>
      <c r="I69" s="19" t="n">
        <f aca="false">IF(ISERROR(INDEX('Events 2027'!$C$5:$C$9,MATCH(G69,'Events 2027'!$A$5:$A$9,0))),"",INDEX('Events 2027'!$C$5:$C$9,MATCH(G69,'Events 2027'!$A$5:$A$9,0)))</f>
        <v>5</v>
      </c>
      <c r="J69" s="26" t="n">
        <f aca="false">IF(ISERROR(ABS(I69-H69)),"",ABS(I69-H69))</f>
        <v>1</v>
      </c>
      <c r="K69" s="20" t="n">
        <f aca="false">IF(ISERROR(INDEX('Drive Times'!$D$12:$I$51,MATCH(C69,'Drive Times'!$A$12:$A$51,0),MATCH(F69,'Drive Times'!$D$11:$I$11,0))),"",INDEX('Drive Times'!$D$12:$I$51,MATCH(C69,'Drive Times'!$A$12:$A$51,0),MATCH(F69,'Drive Times'!$D$11:$I$11,0)))</f>
        <v>0</v>
      </c>
      <c r="L69" s="20" t="n">
        <f aca="false">IF(ISERROR(INDEX('Drive Times'!$D$12:$I$51,MATCH(C69,'Drive Times'!$A$12:$A$51,0),MATCH(G69,'Drive Times'!$D$11:$I$11,0))),"",INDEX('Drive Times'!$D$12:$I$51,MATCH(C69,'Drive Times'!$A$12:$A$51,0),MATCH(G69,'Drive Times'!$D$11:$I$11,0)))</f>
        <v>3.05058889168361</v>
      </c>
      <c r="M69" s="19" t="s">
        <v>203</v>
      </c>
      <c r="N69" s="19" t="n">
        <v>1</v>
      </c>
      <c r="O69" s="19" t="s">
        <v>204</v>
      </c>
      <c r="P69" s="28" t="s">
        <v>261</v>
      </c>
      <c r="Q69" s="19" t="s">
        <v>206</v>
      </c>
    </row>
    <row r="70" customFormat="false" ht="15" hidden="false" customHeight="false" outlineLevel="0" collapsed="false">
      <c r="A70" s="19" t="n">
        <v>4730</v>
      </c>
      <c r="B70" s="19" t="str">
        <f aca="false">INDEX(Strength!$B$2:$B$76,MATCH(A70,Strength!$A$2:$A$76,0))</f>
        <v>Terminators</v>
      </c>
      <c r="C70" s="19" t="str">
        <f aca="false">INDEX(Strength!$C$2:$C$76,MATCH(A70,Strength!$A$2:$A$76,0))</f>
        <v>Albany</v>
      </c>
      <c r="D70" s="20" t="n">
        <f aca="false">INDEX(Strength!$U$2:$U$76,MATCH(A70,Strength!$A$2:$A$76,0))</f>
        <v>8.51409460105112</v>
      </c>
      <c r="E70" s="19" t="n">
        <f aca="false">INDEX(Strength!$V$2:$V$76,MATCH(A70,Strength!$A$2:$A$76,0))</f>
        <v>69</v>
      </c>
      <c r="F70" s="27" t="s">
        <v>110</v>
      </c>
      <c r="G70" s="27" t="s">
        <v>111</v>
      </c>
      <c r="H70" s="19" t="n">
        <f aca="false">IF(ISERROR(INDEX('Events 2027'!$C$5:$C$9,MATCH(F70,'Events 2027'!$A$5:$A$9,0))),"",INDEX('Events 2027'!$C$5:$C$9,MATCH(F70,'Events 2027'!$A$5:$A$9,0)))</f>
        <v>4</v>
      </c>
      <c r="I70" s="19" t="n">
        <f aca="false">IF(ISERROR(INDEX('Events 2027'!$C$5:$C$9,MATCH(G70,'Events 2027'!$A$5:$A$9,0))),"",INDEX('Events 2027'!$C$5:$C$9,MATCH(G70,'Events 2027'!$A$5:$A$9,0)))</f>
        <v>5</v>
      </c>
      <c r="J70" s="26" t="n">
        <f aca="false">IF(ISERROR(ABS(I70-H70)),"",ABS(I70-H70))</f>
        <v>1</v>
      </c>
      <c r="K70" s="20" t="n">
        <f aca="false">IF(ISERROR(INDEX('Drive Times'!$D$12:$I$51,MATCH(C70,'Drive Times'!$A$12:$A$51,0),MATCH(F70,'Drive Times'!$D$11:$I$11,0))),"",INDEX('Drive Times'!$D$12:$I$51,MATCH(C70,'Drive Times'!$A$12:$A$51,0),MATCH(F70,'Drive Times'!$D$11:$I$11,0)))</f>
        <v>0</v>
      </c>
      <c r="L70" s="20" t="n">
        <f aca="false">IF(ISERROR(INDEX('Drive Times'!$D$12:$I$51,MATCH(C70,'Drive Times'!$A$12:$A$51,0),MATCH(G70,'Drive Times'!$D$11:$I$11,0))),"",INDEX('Drive Times'!$D$12:$I$51,MATCH(C70,'Drive Times'!$A$12:$A$51,0),MATCH(G70,'Drive Times'!$D$11:$I$11,0)))</f>
        <v>3.05058889168361</v>
      </c>
      <c r="M70" s="19" t="s">
        <v>138</v>
      </c>
      <c r="N70" s="19" t="n">
        <v>1</v>
      </c>
      <c r="O70" s="19" t="s">
        <v>204</v>
      </c>
      <c r="P70" s="28" t="s">
        <v>278</v>
      </c>
      <c r="Q70" s="19" t="s">
        <v>273</v>
      </c>
    </row>
    <row r="71" customFormat="false" ht="15" hidden="false" customHeight="false" outlineLevel="0" collapsed="false">
      <c r="A71" s="19" t="n">
        <v>9582</v>
      </c>
      <c r="B71" s="19" t="str">
        <f aca="false">INDEX(Strength!$B$2:$B$76,MATCH(A71,Strength!$A$2:$A$76,0))</f>
        <v>HHS NASA Snaggbotics</v>
      </c>
      <c r="C71" s="19" t="str">
        <f aca="false">INDEX(Strength!$C$2:$C$76,MATCH(A71,Strength!$A$2:$A$76,0))</f>
        <v>Conyers</v>
      </c>
      <c r="D71" s="20" t="n">
        <f aca="false">INDEX(Strength!$U$2:$U$76,MATCH(A71,Strength!$A$2:$A$76,0))</f>
        <v>7.32793522267206</v>
      </c>
      <c r="E71" s="19" t="n">
        <f aca="false">INDEX(Strength!$V$2:$V$76,MATCH(A71,Strength!$A$2:$A$76,0))</f>
        <v>70</v>
      </c>
      <c r="F71" s="27" t="s">
        <v>107</v>
      </c>
      <c r="G71" s="27" t="s">
        <v>111</v>
      </c>
      <c r="H71" s="19" t="n">
        <f aca="false">IF(ISERROR(INDEX('Events 2027'!$C$5:$C$9,MATCH(F71,'Events 2027'!$A$5:$A$9,0))),"",INDEX('Events 2027'!$C$5:$C$9,MATCH(F71,'Events 2027'!$A$5:$A$9,0)))</f>
        <v>2</v>
      </c>
      <c r="I71" s="19" t="n">
        <f aca="false">IF(ISERROR(INDEX('Events 2027'!$C$5:$C$9,MATCH(G71,'Events 2027'!$A$5:$A$9,0))),"",INDEX('Events 2027'!$C$5:$C$9,MATCH(G71,'Events 2027'!$A$5:$A$9,0)))</f>
        <v>5</v>
      </c>
      <c r="J71" s="26" t="n">
        <f aca="false">IF(ISERROR(ABS(I71-H71)),"",ABS(I71-H71))</f>
        <v>3</v>
      </c>
      <c r="K71" s="20" t="n">
        <f aca="false">IF(ISERROR(INDEX('Drive Times'!$D$12:$I$51,MATCH(C71,'Drive Times'!$A$12:$A$51,0),MATCH(F71,'Drive Times'!$D$11:$I$11,0))),"",INDEX('Drive Times'!$D$12:$I$51,MATCH(C71,'Drive Times'!$A$12:$A$51,0),MATCH(F71,'Drive Times'!$D$11:$I$11,0)))</f>
        <v>1.05079147815961</v>
      </c>
      <c r="L71" s="20" t="n">
        <f aca="false">IF(ISERROR(INDEX('Drive Times'!$D$12:$I$51,MATCH(C71,'Drive Times'!$A$12:$A$51,0),MATCH(G71,'Drive Times'!$D$11:$I$11,0))),"",INDEX('Drive Times'!$D$12:$I$51,MATCH(C71,'Drive Times'!$A$12:$A$51,0),MATCH(G71,'Drive Times'!$D$11:$I$11,0)))</f>
        <v>1.0024957813912</v>
      </c>
      <c r="M71" s="19" t="s">
        <v>233</v>
      </c>
      <c r="N71" s="19" t="n">
        <v>1</v>
      </c>
      <c r="O71" s="19" t="s">
        <v>204</v>
      </c>
      <c r="P71" s="28" t="s">
        <v>279</v>
      </c>
      <c r="Q71" s="19" t="s">
        <v>235</v>
      </c>
    </row>
    <row r="72" customFormat="false" ht="15" hidden="false" customHeight="false" outlineLevel="0" collapsed="false">
      <c r="A72" s="19" t="n">
        <v>2415</v>
      </c>
      <c r="B72" s="19" t="str">
        <f aca="false">INDEX(Strength!$B$2:$B$76,MATCH(A72,Strength!$A$2:$A$76,0))</f>
        <v>WiredCats</v>
      </c>
      <c r="C72" s="19" t="str">
        <f aca="false">INDEX(Strength!$C$2:$C$76,MATCH(A72,Strength!$A$2:$A$76,0))</f>
        <v>Atlanta</v>
      </c>
      <c r="D72" s="20" t="n">
        <f aca="false">INDEX(Strength!$U$2:$U$76,MATCH(A72,Strength!$A$2:$A$76,0))</f>
        <v>6.90934065934066</v>
      </c>
      <c r="E72" s="19" t="n">
        <f aca="false">INDEX(Strength!$V$2:$V$76,MATCH(A72,Strength!$A$2:$A$76,0))</f>
        <v>71</v>
      </c>
      <c r="F72" s="27" t="s">
        <v>107</v>
      </c>
      <c r="G72" s="27" t="s">
        <v>108</v>
      </c>
      <c r="H72" s="19" t="n">
        <f aca="false">IF(ISERROR(INDEX('Events 2027'!$C$5:$C$9,MATCH(F72,'Events 2027'!$A$5:$A$9,0))),"",INDEX('Events 2027'!$C$5:$C$9,MATCH(F72,'Events 2027'!$A$5:$A$9,0)))</f>
        <v>2</v>
      </c>
      <c r="I72" s="19" t="n">
        <f aca="false">IF(ISERROR(INDEX('Events 2027'!$C$5:$C$9,MATCH(G72,'Events 2027'!$A$5:$A$9,0))),"",INDEX('Events 2027'!$C$5:$C$9,MATCH(G72,'Events 2027'!$A$5:$A$9,0)))</f>
        <v>3</v>
      </c>
      <c r="J72" s="26" t="n">
        <f aca="false">IF(ISERROR(ABS(I72-H72)),"",ABS(I72-H72))</f>
        <v>1</v>
      </c>
      <c r="K72" s="20" t="n">
        <f aca="false">IF(ISERROR(INDEX('Drive Times'!$D$12:$I$51,MATCH(C72,'Drive Times'!$A$12:$A$51,0),MATCH(F72,'Drive Times'!$D$11:$I$11,0))),"",INDEX('Drive Times'!$D$12:$I$51,MATCH(C72,'Drive Times'!$A$12:$A$51,0),MATCH(F72,'Drive Times'!$D$11:$I$11,0)))</f>
        <v>1.14049798600238</v>
      </c>
      <c r="L72" s="20" t="n">
        <f aca="false">IF(ISERROR(INDEX('Drive Times'!$D$12:$I$51,MATCH(C72,'Drive Times'!$A$12:$A$51,0),MATCH(G72,'Drive Times'!$D$11:$I$11,0))),"",INDEX('Drive Times'!$D$12:$I$51,MATCH(C72,'Drive Times'!$A$12:$A$51,0),MATCH(G72,'Drive Times'!$D$11:$I$11,0)))</f>
        <v>0.723013572465791</v>
      </c>
      <c r="M72" s="19" t="s">
        <v>199</v>
      </c>
      <c r="N72" s="19" t="n">
        <v>2</v>
      </c>
      <c r="O72" s="19" t="s">
        <v>207</v>
      </c>
      <c r="P72" s="28" t="s">
        <v>230</v>
      </c>
      <c r="Q72" s="19" t="s">
        <v>213</v>
      </c>
    </row>
    <row r="73" customFormat="false" ht="15" hidden="false" customHeight="false" outlineLevel="0" collapsed="false">
      <c r="A73" s="19" t="n">
        <v>9770</v>
      </c>
      <c r="B73" s="19" t="str">
        <f aca="false">INDEX(Strength!$B$2:$B$76,MATCH(A73,Strength!$A$2:$A$76,0))</f>
        <v>Victory Church of Christ Robo Knights</v>
      </c>
      <c r="C73" s="19" t="str">
        <f aca="false">INDEX(Strength!$C$2:$C$76,MATCH(A73,Strength!$A$2:$A$76,0))</f>
        <v>Atlanta</v>
      </c>
      <c r="D73" s="20" t="n">
        <f aca="false">INDEX(Strength!$U$2:$U$76,MATCH(A73,Strength!$A$2:$A$76,0))</f>
        <v>4.20100732600733</v>
      </c>
      <c r="E73" s="19" t="n">
        <f aca="false">INDEX(Strength!$V$2:$V$76,MATCH(A73,Strength!$A$2:$A$76,0))</f>
        <v>72</v>
      </c>
      <c r="F73" s="27" t="s">
        <v>106</v>
      </c>
      <c r="G73" s="27" t="s">
        <v>111</v>
      </c>
      <c r="H73" s="19" t="n">
        <f aca="false">IF(ISERROR(INDEX('Events 2027'!$C$5:$C$9,MATCH(F73,'Events 2027'!$A$5:$A$9,0))),"",INDEX('Events 2027'!$C$5:$C$9,MATCH(F73,'Events 2027'!$A$5:$A$9,0)))</f>
        <v>1</v>
      </c>
      <c r="I73" s="19" t="n">
        <f aca="false">IF(ISERROR(INDEX('Events 2027'!$C$5:$C$9,MATCH(G73,'Events 2027'!$A$5:$A$9,0))),"",INDEX('Events 2027'!$C$5:$C$9,MATCH(G73,'Events 2027'!$A$5:$A$9,0)))</f>
        <v>5</v>
      </c>
      <c r="J73" s="26" t="n">
        <f aca="false">IF(ISERROR(ABS(I73-H73)),"",ABS(I73-H73))</f>
        <v>4</v>
      </c>
      <c r="K73" s="20" t="n">
        <f aca="false">IF(ISERROR(INDEX('Drive Times'!$D$12:$I$51,MATCH(C73,'Drive Times'!$A$12:$A$51,0),MATCH(F73,'Drive Times'!$D$11:$I$11,0))),"",INDEX('Drive Times'!$D$12:$I$51,MATCH(C73,'Drive Times'!$A$12:$A$51,0),MATCH(F73,'Drive Times'!$D$11:$I$11,0)))</f>
        <v>1.65670462748578</v>
      </c>
      <c r="L73" s="20" t="n">
        <f aca="false">IF(ISERROR(INDEX('Drive Times'!$D$12:$I$51,MATCH(C73,'Drive Times'!$A$12:$A$51,0),MATCH(G73,'Drive Times'!$D$11:$I$11,0))),"",INDEX('Drive Times'!$D$12:$I$51,MATCH(C73,'Drive Times'!$A$12:$A$51,0),MATCH(G73,'Drive Times'!$D$11:$I$11,0)))</f>
        <v>0.605353926696783</v>
      </c>
      <c r="M73" s="19" t="s">
        <v>214</v>
      </c>
      <c r="N73" s="19" t="n">
        <v>1</v>
      </c>
      <c r="O73" s="19" t="s">
        <v>204</v>
      </c>
      <c r="P73" s="28" t="s">
        <v>232</v>
      </c>
      <c r="Q73" s="19" t="s">
        <v>209</v>
      </c>
    </row>
    <row r="74" customFormat="false" ht="15" hidden="false" customHeight="false" outlineLevel="0" collapsed="false">
      <c r="A74" s="19" t="n">
        <v>8849</v>
      </c>
      <c r="B74" s="19" t="str">
        <f aca="false">INDEX(Strength!$B$2:$B$76,MATCH(A74,Strength!$A$2:$A$76,0))</f>
        <v>Storm Robotics</v>
      </c>
      <c r="C74" s="19" t="str">
        <f aca="false">INDEX(Strength!$C$2:$C$76,MATCH(A74,Strength!$A$2:$A$76,0))</f>
        <v>Alpharetta</v>
      </c>
      <c r="D74" s="20" t="n">
        <f aca="false">INDEX(Strength!$U$2:$U$76,MATCH(A74,Strength!$A$2:$A$76,0))</f>
        <v>4.10866910866911</v>
      </c>
      <c r="E74" s="19" t="n">
        <f aca="false">INDEX(Strength!$V$2:$V$76,MATCH(A74,Strength!$A$2:$A$76,0))</f>
        <v>73</v>
      </c>
      <c r="F74" s="27" t="s">
        <v>106</v>
      </c>
      <c r="G74" s="27" t="s">
        <v>107</v>
      </c>
      <c r="H74" s="19" t="n">
        <f aca="false">IF(ISERROR(INDEX('Events 2027'!$C$5:$C$9,MATCH(F74,'Events 2027'!$A$5:$A$9,0))),"",INDEX('Events 2027'!$C$5:$C$9,MATCH(F74,'Events 2027'!$A$5:$A$9,0)))</f>
        <v>1</v>
      </c>
      <c r="I74" s="19" t="n">
        <f aca="false">IF(ISERROR(INDEX('Events 2027'!$C$5:$C$9,MATCH(G74,'Events 2027'!$A$5:$A$9,0))),"",INDEX('Events 2027'!$C$5:$C$9,MATCH(G74,'Events 2027'!$A$5:$A$9,0)))</f>
        <v>2</v>
      </c>
      <c r="J74" s="26" t="n">
        <f aca="false">IF(ISERROR(ABS(I74-H74)),"",ABS(I74-H74))</f>
        <v>1</v>
      </c>
      <c r="K74" s="20" t="n">
        <f aca="false">IF(ISERROR(INDEX('Drive Times'!$D$12:$I$51,MATCH(C74,'Drive Times'!$A$12:$A$51,0),MATCH(F74,'Drive Times'!$D$11:$I$11,0))),"",INDEX('Drive Times'!$D$12:$I$51,MATCH(C74,'Drive Times'!$A$12:$A$51,0),MATCH(F74,'Drive Times'!$D$11:$I$11,0)))</f>
        <v>1.35580453376902</v>
      </c>
      <c r="L74" s="20" t="n">
        <f aca="false">IF(ISERROR(INDEX('Drive Times'!$D$12:$I$51,MATCH(C74,'Drive Times'!$A$12:$A$51,0),MATCH(G74,'Drive Times'!$D$11:$I$11,0))),"",INDEX('Drive Times'!$D$12:$I$51,MATCH(C74,'Drive Times'!$A$12:$A$51,0),MATCH(G74,'Drive Times'!$D$11:$I$11,0)))</f>
        <v>0.794946879478499</v>
      </c>
      <c r="M74" s="19" t="s">
        <v>240</v>
      </c>
      <c r="N74" s="19" t="n">
        <v>2</v>
      </c>
      <c r="O74" s="19" t="s">
        <v>207</v>
      </c>
      <c r="P74" s="28" t="s">
        <v>280</v>
      </c>
      <c r="Q74" s="19" t="s">
        <v>202</v>
      </c>
    </row>
    <row r="75" customFormat="false" ht="15" hidden="false" customHeight="false" outlineLevel="0" collapsed="false">
      <c r="A75" s="19" t="n">
        <v>1795</v>
      </c>
      <c r="B75" s="19" t="str">
        <f aca="false">INDEX(Strength!$B$2:$B$76,MATCH(A75,Strength!$A$2:$A$76,0))</f>
        <v>Carver Clutch</v>
      </c>
      <c r="C75" s="19" t="str">
        <f aca="false">INDEX(Strength!$C$2:$C$76,MATCH(A75,Strength!$A$2:$A$76,0))</f>
        <v>Atlanta</v>
      </c>
      <c r="D75" s="20" t="n">
        <f aca="false">INDEX(Strength!$U$2:$U$76,MATCH(A75,Strength!$A$2:$A$76,0))</f>
        <v>0</v>
      </c>
      <c r="E75" s="19" t="n">
        <f aca="false">INDEX(Strength!$V$2:$V$76,MATCH(A75,Strength!$A$2:$A$76,0))</f>
        <v>74</v>
      </c>
      <c r="F75" s="27" t="s">
        <v>107</v>
      </c>
      <c r="G75" s="27" t="s">
        <v>108</v>
      </c>
      <c r="H75" s="19" t="n">
        <f aca="false">IF(ISERROR(INDEX('Events 2027'!$C$5:$C$9,MATCH(F75,'Events 2027'!$A$5:$A$9,0))),"",INDEX('Events 2027'!$C$5:$C$9,MATCH(F75,'Events 2027'!$A$5:$A$9,0)))</f>
        <v>2</v>
      </c>
      <c r="I75" s="19" t="n">
        <f aca="false">IF(ISERROR(INDEX('Events 2027'!$C$5:$C$9,MATCH(G75,'Events 2027'!$A$5:$A$9,0))),"",INDEX('Events 2027'!$C$5:$C$9,MATCH(G75,'Events 2027'!$A$5:$A$9,0)))</f>
        <v>3</v>
      </c>
      <c r="J75" s="26" t="n">
        <f aca="false">IF(ISERROR(ABS(I75-H75)),"",ABS(I75-H75))</f>
        <v>1</v>
      </c>
      <c r="K75" s="20" t="n">
        <f aca="false">IF(ISERROR(INDEX('Drive Times'!$D$12:$I$51,MATCH(C75,'Drive Times'!$A$12:$A$51,0),MATCH(F75,'Drive Times'!$D$11:$I$11,0))),"",INDEX('Drive Times'!$D$12:$I$51,MATCH(C75,'Drive Times'!$A$12:$A$51,0),MATCH(F75,'Drive Times'!$D$11:$I$11,0)))</f>
        <v>1.14049798600238</v>
      </c>
      <c r="L75" s="20" t="n">
        <f aca="false">IF(ISERROR(INDEX('Drive Times'!$D$12:$I$51,MATCH(C75,'Drive Times'!$A$12:$A$51,0),MATCH(G75,'Drive Times'!$D$11:$I$11,0))),"",INDEX('Drive Times'!$D$12:$I$51,MATCH(C75,'Drive Times'!$A$12:$A$51,0),MATCH(G75,'Drive Times'!$D$11:$I$11,0)))</f>
        <v>0.723013572465791</v>
      </c>
      <c r="M75" s="19" t="s">
        <v>199</v>
      </c>
      <c r="N75" s="19" t="n">
        <v>2</v>
      </c>
      <c r="O75" s="19" t="s">
        <v>207</v>
      </c>
      <c r="P75" s="28" t="s">
        <v>230</v>
      </c>
      <c r="Q75" s="19" t="s">
        <v>213</v>
      </c>
    </row>
    <row r="77" customFormat="false" ht="15" hidden="false" customHeight="false" outlineLevel="0" collapsed="false">
      <c r="A77" s="5" t="s">
        <v>281</v>
      </c>
    </row>
  </sheetData>
  <conditionalFormatting sqref="O2:O75">
    <cfRule type="cellIs" priority="2" operator="equal" aboveAverage="0" equalAverage="0" bottom="0" percent="0" rank="0" text="" dxfId="0">
      <formula>"Low"</formula>
    </cfRule>
    <cfRule type="cellIs" priority="3" operator="equal" aboveAverage="0" equalAverage="0" bottom="0" percent="0" rank="0" text="" dxfId="6">
      <formula>"High"</formula>
    </cfRule>
  </conditionalFormatting>
  <conditionalFormatting sqref="A2:Q75">
    <cfRule type="expression" priority="4" aboveAverage="0" equalAverage="0" bottom="0" percent="0" rank="0" text="" dxfId="5">
      <formula>$A2=$T$1</formula>
    </cfRule>
  </conditionalFormatting>
  <conditionalFormatting sqref="J2:J75">
    <cfRule type="cellIs" priority="5" operator="equal" aboveAverage="0" equalAverage="0" bottom="0" percent="0" rank="0" text="" dxfId="3">
      <formula>1</formula>
    </cfRule>
  </conditionalFormatting>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H76"/>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3" ySplit="2" topLeftCell="D3" activePane="bottomRight" state="frozen"/>
      <selection pane="topLeft" activeCell="A1" activeCellId="0" sqref="A1"/>
      <selection pane="topRight" activeCell="D1" activeCellId="0" sqref="D1"/>
      <selection pane="bottomLeft" activeCell="A3" activeCellId="0" sqref="A3"/>
      <selection pane="bottomRight" activeCell="A1" activeCellId="0" sqref="A1"/>
    </sheetView>
  </sheetViews>
  <sheetFormatPr defaultColWidth="8.6796875" defaultRowHeight="15" zeroHeight="false" outlineLevelRow="0" outlineLevelCol="0"/>
  <cols>
    <col collapsed="false" customWidth="true" hidden="false" outlineLevel="0" max="3" min="1" style="0" width="9"/>
    <col collapsed="false" customWidth="true" hidden="false" outlineLevel="0" max="8" min="4" style="0" width="20"/>
  </cols>
  <sheetData>
    <row r="1" customFormat="false" ht="15" hidden="false" customHeight="false" outlineLevel="0" collapsed="false">
      <c r="A1" s="6" t="s">
        <v>282</v>
      </c>
    </row>
    <row r="2" customFormat="false" ht="26.85" hidden="false" customHeight="false" outlineLevel="0" collapsed="false">
      <c r="A2" s="7" t="s">
        <v>185</v>
      </c>
      <c r="B2" s="7" t="s">
        <v>187</v>
      </c>
      <c r="C2" s="7" t="s">
        <v>186</v>
      </c>
      <c r="D2" s="7" t="s">
        <v>283</v>
      </c>
      <c r="E2" s="7" t="s">
        <v>284</v>
      </c>
      <c r="F2" s="7" t="s">
        <v>285</v>
      </c>
      <c r="G2" s="7" t="s">
        <v>286</v>
      </c>
      <c r="H2" s="7" t="s">
        <v>287</v>
      </c>
    </row>
    <row r="3" customFormat="false" ht="15" hidden="false" customHeight="false" outlineLevel="0" collapsed="false">
      <c r="A3" s="19" t="n">
        <f aca="false">'Forecast 2027'!A2</f>
        <v>1833</v>
      </c>
      <c r="B3" s="19" t="n">
        <f aca="false">'Forecast 2027'!E2</f>
        <v>1</v>
      </c>
      <c r="C3" s="20" t="n">
        <f aca="false">'Forecast 2027'!D2</f>
        <v>100</v>
      </c>
      <c r="D3" s="20" t="str">
        <f aca="false">IF(OR('Forecast 2027'!$F2="GADAL",'Forecast 2027'!$G2="GADAL"),'Forecast 2027'!$D2,"")</f>
        <v/>
      </c>
      <c r="E3" s="20" t="n">
        <f aca="false">IF(OR('Forecast 2027'!$F2="GAGAI",'Forecast 2027'!$G2="GAGAI"),'Forecast 2027'!$D2,"")</f>
        <v>100</v>
      </c>
      <c r="F3" s="20" t="n">
        <f aca="false">IF(OR('Forecast 2027'!$F2="GAGWI",'Forecast 2027'!$G2="GAGWI"),'Forecast 2027'!$D2,"")</f>
        <v>100</v>
      </c>
      <c r="G3" s="20" t="str">
        <f aca="false">IF(OR('Forecast 2027'!$F2="GAALB",'Forecast 2027'!$G2="GAALB"),'Forecast 2027'!$D2,"")</f>
        <v/>
      </c>
      <c r="H3" s="20" t="str">
        <f aca="false">IF(OR('Forecast 2027'!$F2="GADOU",'Forecast 2027'!$G2="GADOU"),'Forecast 2027'!$D2,"")</f>
        <v/>
      </c>
    </row>
    <row r="4" customFormat="false" ht="15" hidden="false" customHeight="false" outlineLevel="0" collapsed="false">
      <c r="A4" s="19" t="n">
        <f aca="false">'Forecast 2027'!A3</f>
        <v>4188</v>
      </c>
      <c r="B4" s="19" t="n">
        <f aca="false">'Forecast 2027'!E3</f>
        <v>2</v>
      </c>
      <c r="C4" s="20" t="n">
        <f aca="false">'Forecast 2027'!D3</f>
        <v>93.1959706959707</v>
      </c>
      <c r="D4" s="20" t="str">
        <f aca="false">IF(OR('Forecast 2027'!$F3="GADAL",'Forecast 2027'!$G3="GADAL"),'Forecast 2027'!$D3,"")</f>
        <v/>
      </c>
      <c r="E4" s="20" t="str">
        <f aca="false">IF(OR('Forecast 2027'!$F3="GAGAI",'Forecast 2027'!$G3="GAGAI"),'Forecast 2027'!$D3,"")</f>
        <v/>
      </c>
      <c r="F4" s="20" t="str">
        <f aca="false">IF(OR('Forecast 2027'!$F3="GAGWI",'Forecast 2027'!$G3="GAGWI"),'Forecast 2027'!$D3,"")</f>
        <v/>
      </c>
      <c r="G4" s="20" t="n">
        <f aca="false">IF(OR('Forecast 2027'!$F3="GAALB",'Forecast 2027'!$G3="GAALB"),'Forecast 2027'!$D3,"")</f>
        <v>93.1959706959707</v>
      </c>
      <c r="H4" s="20" t="n">
        <f aca="false">IF(OR('Forecast 2027'!$F3="GADOU",'Forecast 2027'!$G3="GADOU"),'Forecast 2027'!$D3,"")</f>
        <v>93.1959706959707</v>
      </c>
    </row>
    <row r="5" customFormat="false" ht="15" hidden="false" customHeight="false" outlineLevel="0" collapsed="false">
      <c r="A5" s="19" t="n">
        <f aca="false">'Forecast 2027'!A4</f>
        <v>1002</v>
      </c>
      <c r="B5" s="19" t="n">
        <f aca="false">'Forecast 2027'!E4</f>
        <v>3</v>
      </c>
      <c r="C5" s="20" t="n">
        <f aca="false">'Forecast 2027'!D4</f>
        <v>93.0148112756808</v>
      </c>
      <c r="D5" s="20" t="n">
        <f aca="false">IF(OR('Forecast 2027'!$F4="GADAL",'Forecast 2027'!$G4="GADAL"),'Forecast 2027'!$D4,"")</f>
        <v>93.0148112756808</v>
      </c>
      <c r="E5" s="20" t="str">
        <f aca="false">IF(OR('Forecast 2027'!$F4="GAGAI",'Forecast 2027'!$G4="GAGAI"),'Forecast 2027'!$D4,"")</f>
        <v/>
      </c>
      <c r="F5" s="20" t="str">
        <f aca="false">IF(OR('Forecast 2027'!$F4="GAGWI",'Forecast 2027'!$G4="GAGWI"),'Forecast 2027'!$D4,"")</f>
        <v/>
      </c>
      <c r="G5" s="20" t="n">
        <f aca="false">IF(OR('Forecast 2027'!$F4="GAALB",'Forecast 2027'!$G4="GAALB"),'Forecast 2027'!$D4,"")</f>
        <v>93.0148112756808</v>
      </c>
      <c r="H5" s="20" t="str">
        <f aca="false">IF(OR('Forecast 2027'!$F4="GADOU",'Forecast 2027'!$G4="GADOU"),'Forecast 2027'!$D4,"")</f>
        <v/>
      </c>
    </row>
    <row r="6" customFormat="false" ht="15" hidden="false" customHeight="false" outlineLevel="0" collapsed="false">
      <c r="A6" s="19" t="n">
        <f aca="false">'Forecast 2027'!A5</f>
        <v>6919</v>
      </c>
      <c r="B6" s="19" t="n">
        <f aca="false">'Forecast 2027'!E5</f>
        <v>4</v>
      </c>
      <c r="C6" s="20" t="n">
        <f aca="false">'Forecast 2027'!D5</f>
        <v>86.6208791208791</v>
      </c>
      <c r="D6" s="20" t="n">
        <f aca="false">IF(OR('Forecast 2027'!$F5="GADAL",'Forecast 2027'!$G5="GADAL"),'Forecast 2027'!$D5,"")</f>
        <v>86.6208791208791</v>
      </c>
      <c r="E6" s="20" t="str">
        <f aca="false">IF(OR('Forecast 2027'!$F5="GAGAI",'Forecast 2027'!$G5="GAGAI"),'Forecast 2027'!$D5,"")</f>
        <v/>
      </c>
      <c r="F6" s="20" t="str">
        <f aca="false">IF(OR('Forecast 2027'!$F5="GAGWI",'Forecast 2027'!$G5="GAGWI"),'Forecast 2027'!$D5,"")</f>
        <v/>
      </c>
      <c r="G6" s="20" t="n">
        <f aca="false">IF(OR('Forecast 2027'!$F5="GAALB",'Forecast 2027'!$G5="GAALB"),'Forecast 2027'!$D5,"")</f>
        <v>86.6208791208791</v>
      </c>
      <c r="H6" s="20" t="str">
        <f aca="false">IF(OR('Forecast 2027'!$F5="GADOU",'Forecast 2027'!$G5="GADOU"),'Forecast 2027'!$D5,"")</f>
        <v/>
      </c>
    </row>
    <row r="7" customFormat="false" ht="15" hidden="false" customHeight="false" outlineLevel="0" collapsed="false">
      <c r="A7" s="19" t="n">
        <f aca="false">'Forecast 2027'!A6</f>
        <v>1771</v>
      </c>
      <c r="B7" s="19" t="n">
        <f aca="false">'Forecast 2027'!E6</f>
        <v>5</v>
      </c>
      <c r="C7" s="20" t="n">
        <f aca="false">'Forecast 2027'!D6</f>
        <v>84.1941391941392</v>
      </c>
      <c r="D7" s="20" t="str">
        <f aca="false">IF(OR('Forecast 2027'!$F6="GADAL",'Forecast 2027'!$G6="GADAL"),'Forecast 2027'!$D6,"")</f>
        <v/>
      </c>
      <c r="E7" s="20" t="str">
        <f aca="false">IF(OR('Forecast 2027'!$F6="GAGAI",'Forecast 2027'!$G6="GAGAI"),'Forecast 2027'!$D6,"")</f>
        <v/>
      </c>
      <c r="F7" s="20" t="n">
        <f aca="false">IF(OR('Forecast 2027'!$F6="GAGWI",'Forecast 2027'!$G6="GAGWI"),'Forecast 2027'!$D6,"")</f>
        <v>84.1941391941392</v>
      </c>
      <c r="G7" s="20" t="n">
        <f aca="false">IF(OR('Forecast 2027'!$F6="GAALB",'Forecast 2027'!$G6="GAALB"),'Forecast 2027'!$D6,"")</f>
        <v>84.1941391941392</v>
      </c>
      <c r="H7" s="20" t="str">
        <f aca="false">IF(OR('Forecast 2027'!$F6="GADOU",'Forecast 2027'!$G6="GADOU"),'Forecast 2027'!$D6,"")</f>
        <v/>
      </c>
    </row>
    <row r="8" customFormat="false" ht="15" hidden="false" customHeight="false" outlineLevel="0" collapsed="false">
      <c r="A8" s="19" t="n">
        <f aca="false">'Forecast 2027'!A7</f>
        <v>2974</v>
      </c>
      <c r="B8" s="19" t="n">
        <f aca="false">'Forecast 2027'!E7</f>
        <v>6</v>
      </c>
      <c r="C8" s="20" t="n">
        <f aca="false">'Forecast 2027'!D7</f>
        <v>82.0974677496417</v>
      </c>
      <c r="D8" s="20" t="n">
        <f aca="false">IF(OR('Forecast 2027'!$F7="GADAL",'Forecast 2027'!$G7="GADAL"),'Forecast 2027'!$D7,"")</f>
        <v>82.0974677496417</v>
      </c>
      <c r="E8" s="20" t="str">
        <f aca="false">IF(OR('Forecast 2027'!$F7="GAGAI",'Forecast 2027'!$G7="GAGAI"),'Forecast 2027'!$D7,"")</f>
        <v/>
      </c>
      <c r="F8" s="20" t="str">
        <f aca="false">IF(OR('Forecast 2027'!$F7="GAGWI",'Forecast 2027'!$G7="GAGWI"),'Forecast 2027'!$D7,"")</f>
        <v/>
      </c>
      <c r="G8" s="20" t="str">
        <f aca="false">IF(OR('Forecast 2027'!$F7="GAALB",'Forecast 2027'!$G7="GAALB"),'Forecast 2027'!$D7,"")</f>
        <v/>
      </c>
      <c r="H8" s="20" t="n">
        <f aca="false">IF(OR('Forecast 2027'!$F7="GADOU",'Forecast 2027'!$G7="GADOU"),'Forecast 2027'!$D7,"")</f>
        <v>82.0974677496417</v>
      </c>
    </row>
    <row r="9" customFormat="false" ht="15" hidden="false" customHeight="false" outlineLevel="0" collapsed="false">
      <c r="A9" s="19" t="n">
        <f aca="false">'Forecast 2027'!A8</f>
        <v>1683</v>
      </c>
      <c r="B9" s="19" t="n">
        <f aca="false">'Forecast 2027'!E8</f>
        <v>7</v>
      </c>
      <c r="C9" s="20" t="n">
        <f aca="false">'Forecast 2027'!D8</f>
        <v>77.2275641025641</v>
      </c>
      <c r="D9" s="20" t="str">
        <f aca="false">IF(OR('Forecast 2027'!$F8="GADAL",'Forecast 2027'!$G8="GADAL"),'Forecast 2027'!$D8,"")</f>
        <v/>
      </c>
      <c r="E9" s="20" t="n">
        <f aca="false">IF(OR('Forecast 2027'!$F8="GAGAI",'Forecast 2027'!$G8="GAGAI"),'Forecast 2027'!$D8,"")</f>
        <v>77.2275641025641</v>
      </c>
      <c r="F9" s="20" t="n">
        <f aca="false">IF(OR('Forecast 2027'!$F8="GAGWI",'Forecast 2027'!$G8="GAGWI"),'Forecast 2027'!$D8,"")</f>
        <v>77.2275641025641</v>
      </c>
      <c r="G9" s="20" t="str">
        <f aca="false">IF(OR('Forecast 2027'!$F8="GAALB",'Forecast 2027'!$G8="GAALB"),'Forecast 2027'!$D8,"")</f>
        <v/>
      </c>
      <c r="H9" s="20" t="str">
        <f aca="false">IF(OR('Forecast 2027'!$F8="GADOU",'Forecast 2027'!$G8="GADOU"),'Forecast 2027'!$D8,"")</f>
        <v/>
      </c>
    </row>
    <row r="10" customFormat="false" ht="15" hidden="false" customHeight="false" outlineLevel="0" collapsed="false">
      <c r="A10" s="19" t="n">
        <f aca="false">'Forecast 2027'!A9</f>
        <v>6829</v>
      </c>
      <c r="B10" s="19" t="n">
        <f aca="false">'Forecast 2027'!E9</f>
        <v>8</v>
      </c>
      <c r="C10" s="20" t="n">
        <f aca="false">'Forecast 2027'!D9</f>
        <v>70.7967032967033</v>
      </c>
      <c r="D10" s="20" t="n">
        <f aca="false">IF(OR('Forecast 2027'!$F9="GADAL",'Forecast 2027'!$G9="GADAL"),'Forecast 2027'!$D9,"")</f>
        <v>70.7967032967033</v>
      </c>
      <c r="E10" s="20" t="str">
        <f aca="false">IF(OR('Forecast 2027'!$F9="GAGAI",'Forecast 2027'!$G9="GAGAI"),'Forecast 2027'!$D9,"")</f>
        <v/>
      </c>
      <c r="F10" s="20" t="str">
        <f aca="false">IF(OR('Forecast 2027'!$F9="GAGWI",'Forecast 2027'!$G9="GAGWI"),'Forecast 2027'!$D9,"")</f>
        <v/>
      </c>
      <c r="G10" s="20" t="n">
        <f aca="false">IF(OR('Forecast 2027'!$F9="GAALB",'Forecast 2027'!$G9="GAALB"),'Forecast 2027'!$D9,"")</f>
        <v>70.7967032967033</v>
      </c>
      <c r="H10" s="20" t="str">
        <f aca="false">IF(OR('Forecast 2027'!$F9="GADOU",'Forecast 2027'!$G9="GADOU"),'Forecast 2027'!$D9,"")</f>
        <v/>
      </c>
    </row>
    <row r="11" customFormat="false" ht="15" hidden="false" customHeight="false" outlineLevel="0" collapsed="false">
      <c r="A11" s="19" t="n">
        <f aca="false">'Forecast 2027'!A10</f>
        <v>4189</v>
      </c>
      <c r="B11" s="19" t="n">
        <f aca="false">'Forecast 2027'!E10</f>
        <v>9</v>
      </c>
      <c r="C11" s="20" t="n">
        <f aca="false">'Forecast 2027'!D10</f>
        <v>66.6781135531136</v>
      </c>
      <c r="D11" s="20" t="str">
        <f aca="false">IF(OR('Forecast 2027'!$F10="GADAL",'Forecast 2027'!$G10="GADAL"),'Forecast 2027'!$D10,"")</f>
        <v/>
      </c>
      <c r="E11" s="20" t="n">
        <f aca="false">IF(OR('Forecast 2027'!$F10="GAGAI",'Forecast 2027'!$G10="GAGAI"),'Forecast 2027'!$D10,"")</f>
        <v>66.6781135531136</v>
      </c>
      <c r="F11" s="20" t="n">
        <f aca="false">IF(OR('Forecast 2027'!$F10="GAGWI",'Forecast 2027'!$G10="GAGWI"),'Forecast 2027'!$D10,"")</f>
        <v>66.6781135531136</v>
      </c>
      <c r="G11" s="20" t="str">
        <f aca="false">IF(OR('Forecast 2027'!$F10="GAALB",'Forecast 2027'!$G10="GAALB"),'Forecast 2027'!$D10,"")</f>
        <v/>
      </c>
      <c r="H11" s="20" t="str">
        <f aca="false">IF(OR('Forecast 2027'!$F10="GADOU",'Forecast 2027'!$G10="GADOU"),'Forecast 2027'!$D10,"")</f>
        <v/>
      </c>
    </row>
    <row r="12" customFormat="false" ht="15" hidden="false" customHeight="false" outlineLevel="0" collapsed="false">
      <c r="A12" s="19" t="n">
        <f aca="false">'Forecast 2027'!A11</f>
        <v>4026</v>
      </c>
      <c r="B12" s="19" t="n">
        <f aca="false">'Forecast 2027'!E11</f>
        <v>10</v>
      </c>
      <c r="C12" s="20" t="n">
        <f aca="false">'Forecast 2027'!D11</f>
        <v>58.6034798534799</v>
      </c>
      <c r="D12" s="20" t="n">
        <f aca="false">IF(OR('Forecast 2027'!$F11="GADAL",'Forecast 2027'!$G11="GADAL"),'Forecast 2027'!$D11,"")</f>
        <v>58.6034798534799</v>
      </c>
      <c r="E12" s="20" t="str">
        <f aca="false">IF(OR('Forecast 2027'!$F11="GAGAI",'Forecast 2027'!$G11="GAGAI"),'Forecast 2027'!$D11,"")</f>
        <v/>
      </c>
      <c r="F12" s="20" t="str">
        <f aca="false">IF(OR('Forecast 2027'!$F11="GAGWI",'Forecast 2027'!$G11="GAGWI"),'Forecast 2027'!$D11,"")</f>
        <v/>
      </c>
      <c r="G12" s="20" t="str">
        <f aca="false">IF(OR('Forecast 2027'!$F11="GAALB",'Forecast 2027'!$G11="GAALB"),'Forecast 2027'!$D11,"")</f>
        <v/>
      </c>
      <c r="H12" s="20" t="n">
        <f aca="false">IF(OR('Forecast 2027'!$F11="GADOU",'Forecast 2027'!$G11="GADOU"),'Forecast 2027'!$D11,"")</f>
        <v>58.6034798534799</v>
      </c>
    </row>
    <row r="13" customFormat="false" ht="15" hidden="false" customHeight="false" outlineLevel="0" collapsed="false">
      <c r="A13" s="19" t="n">
        <f aca="false">'Forecast 2027'!A12</f>
        <v>832</v>
      </c>
      <c r="B13" s="19" t="n">
        <f aca="false">'Forecast 2027'!E12</f>
        <v>11</v>
      </c>
      <c r="C13" s="20" t="n">
        <f aca="false">'Forecast 2027'!D12</f>
        <v>57.2847985347985</v>
      </c>
      <c r="D13" s="20" t="n">
        <f aca="false">IF(OR('Forecast 2027'!$F12="GADAL",'Forecast 2027'!$G12="GADAL"),'Forecast 2027'!$D12,"")</f>
        <v>57.2847985347985</v>
      </c>
      <c r="E13" s="20" t="str">
        <f aca="false">IF(OR('Forecast 2027'!$F12="GAGAI",'Forecast 2027'!$G12="GAGAI"),'Forecast 2027'!$D12,"")</f>
        <v/>
      </c>
      <c r="F13" s="20" t="str">
        <f aca="false">IF(OR('Forecast 2027'!$F12="GAGWI",'Forecast 2027'!$G12="GAGWI"),'Forecast 2027'!$D12,"")</f>
        <v/>
      </c>
      <c r="G13" s="20" t="str">
        <f aca="false">IF(OR('Forecast 2027'!$F12="GAALB",'Forecast 2027'!$G12="GAALB"),'Forecast 2027'!$D12,"")</f>
        <v/>
      </c>
      <c r="H13" s="20" t="n">
        <f aca="false">IF(OR('Forecast 2027'!$F12="GADOU",'Forecast 2027'!$G12="GADOU"),'Forecast 2027'!$D12,"")</f>
        <v>57.2847985347985</v>
      </c>
    </row>
    <row r="14" customFormat="false" ht="15" hidden="false" customHeight="false" outlineLevel="0" collapsed="false">
      <c r="A14" s="19" t="n">
        <f aca="false">'Forecast 2027'!A13</f>
        <v>1648</v>
      </c>
      <c r="B14" s="19" t="n">
        <f aca="false">'Forecast 2027'!E13</f>
        <v>12</v>
      </c>
      <c r="C14" s="20" t="n">
        <f aca="false">'Forecast 2027'!D13</f>
        <v>55.6410256410256</v>
      </c>
      <c r="D14" s="20" t="n">
        <f aca="false">IF(OR('Forecast 2027'!$F13="GADAL",'Forecast 2027'!$G13="GADAL"),'Forecast 2027'!$D13,"")</f>
        <v>55.6410256410256</v>
      </c>
      <c r="E14" s="20" t="str">
        <f aca="false">IF(OR('Forecast 2027'!$F13="GAGAI",'Forecast 2027'!$G13="GAGAI"),'Forecast 2027'!$D13,"")</f>
        <v/>
      </c>
      <c r="F14" s="20" t="str">
        <f aca="false">IF(OR('Forecast 2027'!$F13="GAGWI",'Forecast 2027'!$G13="GAGWI"),'Forecast 2027'!$D13,"")</f>
        <v/>
      </c>
      <c r="G14" s="20" t="n">
        <f aca="false">IF(OR('Forecast 2027'!$F13="GAALB",'Forecast 2027'!$G13="GAALB"),'Forecast 2027'!$D13,"")</f>
        <v>55.6410256410256</v>
      </c>
      <c r="H14" s="20" t="str">
        <f aca="false">IF(OR('Forecast 2027'!$F13="GADOU",'Forecast 2027'!$G13="GADOU"),'Forecast 2027'!$D13,"")</f>
        <v/>
      </c>
    </row>
    <row r="15" customFormat="false" ht="15" hidden="false" customHeight="false" outlineLevel="0" collapsed="false">
      <c r="A15" s="19" t="n">
        <f aca="false">'Forecast 2027'!A14</f>
        <v>4509</v>
      </c>
      <c r="B15" s="19" t="n">
        <f aca="false">'Forecast 2027'!E14</f>
        <v>13</v>
      </c>
      <c r="C15" s="20" t="n">
        <f aca="false">'Forecast 2027'!D14</f>
        <v>55.1242236024845</v>
      </c>
      <c r="D15" s="20" t="str">
        <f aca="false">IF(OR('Forecast 2027'!$F14="GADAL",'Forecast 2027'!$G14="GADAL"),'Forecast 2027'!$D14,"")</f>
        <v/>
      </c>
      <c r="E15" s="20" t="n">
        <f aca="false">IF(OR('Forecast 2027'!$F14="GAGAI",'Forecast 2027'!$G14="GAGAI"),'Forecast 2027'!$D14,"")</f>
        <v>55.1242236024845</v>
      </c>
      <c r="F15" s="20" t="n">
        <f aca="false">IF(OR('Forecast 2027'!$F14="GAGWI",'Forecast 2027'!$G14="GAGWI"),'Forecast 2027'!$D14,"")</f>
        <v>55.1242236024845</v>
      </c>
      <c r="G15" s="20" t="str">
        <f aca="false">IF(OR('Forecast 2027'!$F14="GAALB",'Forecast 2027'!$G14="GAALB"),'Forecast 2027'!$D14,"")</f>
        <v/>
      </c>
      <c r="H15" s="20" t="str">
        <f aca="false">IF(OR('Forecast 2027'!$F14="GADOU",'Forecast 2027'!$G14="GADOU"),'Forecast 2027'!$D14,"")</f>
        <v/>
      </c>
    </row>
    <row r="16" customFormat="false" ht="15" hidden="false" customHeight="false" outlineLevel="0" collapsed="false">
      <c r="A16" s="19" t="n">
        <f aca="false">'Forecast 2027'!A15</f>
        <v>9477</v>
      </c>
      <c r="B16" s="19" t="n">
        <f aca="false">'Forecast 2027'!E15</f>
        <v>14</v>
      </c>
      <c r="C16" s="20" t="n">
        <f aca="false">'Forecast 2027'!D15</f>
        <v>54.8447204968944</v>
      </c>
      <c r="D16" s="20" t="n">
        <f aca="false">IF(OR('Forecast 2027'!$F15="GADAL",'Forecast 2027'!$G15="GADAL"),'Forecast 2027'!$D15,"")</f>
        <v>54.8447204968944</v>
      </c>
      <c r="E16" s="20" t="str">
        <f aca="false">IF(OR('Forecast 2027'!$F15="GAGAI",'Forecast 2027'!$G15="GAGAI"),'Forecast 2027'!$D15,"")</f>
        <v/>
      </c>
      <c r="F16" s="20" t="str">
        <f aca="false">IF(OR('Forecast 2027'!$F15="GAGWI",'Forecast 2027'!$G15="GAGWI"),'Forecast 2027'!$D15,"")</f>
        <v/>
      </c>
      <c r="G16" s="20" t="n">
        <f aca="false">IF(OR('Forecast 2027'!$F15="GAALB",'Forecast 2027'!$G15="GAALB"),'Forecast 2027'!$D15,"")</f>
        <v>54.8447204968944</v>
      </c>
      <c r="H16" s="20" t="str">
        <f aca="false">IF(OR('Forecast 2027'!$F15="GADOU",'Forecast 2027'!$G15="GADOU"),'Forecast 2027'!$D15,"")</f>
        <v/>
      </c>
    </row>
    <row r="17" customFormat="false" ht="15" hidden="false" customHeight="false" outlineLevel="0" collapsed="false">
      <c r="A17" s="19" t="n">
        <f aca="false">'Forecast 2027'!A16</f>
        <v>1261</v>
      </c>
      <c r="B17" s="19" t="n">
        <f aca="false">'Forecast 2027'!E16</f>
        <v>15</v>
      </c>
      <c r="C17" s="20" t="n">
        <f aca="false">'Forecast 2027'!D16</f>
        <v>53.6721611721612</v>
      </c>
      <c r="D17" s="20" t="str">
        <f aca="false">IF(OR('Forecast 2027'!$F16="GADAL",'Forecast 2027'!$G16="GADAL"),'Forecast 2027'!$D16,"")</f>
        <v/>
      </c>
      <c r="E17" s="20" t="str">
        <f aca="false">IF(OR('Forecast 2027'!$F16="GAGAI",'Forecast 2027'!$G16="GAGAI"),'Forecast 2027'!$D16,"")</f>
        <v/>
      </c>
      <c r="F17" s="20" t="n">
        <f aca="false">IF(OR('Forecast 2027'!$F16="GAGWI",'Forecast 2027'!$G16="GAGWI"),'Forecast 2027'!$D16,"")</f>
        <v>53.6721611721612</v>
      </c>
      <c r="G17" s="20" t="n">
        <f aca="false">IF(OR('Forecast 2027'!$F16="GAALB",'Forecast 2027'!$G16="GAALB"),'Forecast 2027'!$D16,"")</f>
        <v>53.6721611721612</v>
      </c>
      <c r="H17" s="20" t="str">
        <f aca="false">IF(OR('Forecast 2027'!$F16="GADOU",'Forecast 2027'!$G16="GADOU"),'Forecast 2027'!$D16,"")</f>
        <v/>
      </c>
    </row>
    <row r="18" customFormat="false" ht="15" hidden="false" customHeight="false" outlineLevel="0" collapsed="false">
      <c r="A18" s="19" t="n">
        <f aca="false">'Forecast 2027'!A17</f>
        <v>5109</v>
      </c>
      <c r="B18" s="19" t="n">
        <f aca="false">'Forecast 2027'!E17</f>
        <v>16</v>
      </c>
      <c r="C18" s="20" t="n">
        <f aca="false">'Forecast 2027'!D17</f>
        <v>50.8058608058608</v>
      </c>
      <c r="D18" s="20" t="str">
        <f aca="false">IF(OR('Forecast 2027'!$F17="GADAL",'Forecast 2027'!$G17="GADAL"),'Forecast 2027'!$D17,"")</f>
        <v/>
      </c>
      <c r="E18" s="20" t="n">
        <f aca="false">IF(OR('Forecast 2027'!$F17="GAGAI",'Forecast 2027'!$G17="GAGAI"),'Forecast 2027'!$D17,"")</f>
        <v>50.8058608058608</v>
      </c>
      <c r="F18" s="20" t="n">
        <f aca="false">IF(OR('Forecast 2027'!$F17="GAGWI",'Forecast 2027'!$G17="GAGWI"),'Forecast 2027'!$D17,"")</f>
        <v>50.8058608058608</v>
      </c>
      <c r="G18" s="20" t="str">
        <f aca="false">IF(OR('Forecast 2027'!$F17="GAALB",'Forecast 2027'!$G17="GAALB"),'Forecast 2027'!$D17,"")</f>
        <v/>
      </c>
      <c r="H18" s="20" t="str">
        <f aca="false">IF(OR('Forecast 2027'!$F17="GADOU",'Forecast 2027'!$G17="GADOU"),'Forecast 2027'!$D17,"")</f>
        <v/>
      </c>
    </row>
    <row r="19" customFormat="false" ht="15" hidden="false" customHeight="false" outlineLevel="0" collapsed="false">
      <c r="A19" s="19" t="n">
        <f aca="false">'Forecast 2027'!A18</f>
        <v>7451</v>
      </c>
      <c r="B19" s="19" t="n">
        <f aca="false">'Forecast 2027'!E18</f>
        <v>17</v>
      </c>
      <c r="C19" s="20" t="n">
        <f aca="false">'Forecast 2027'!D18</f>
        <v>49.878663003663</v>
      </c>
      <c r="D19" s="20" t="n">
        <f aca="false">IF(OR('Forecast 2027'!$F18="GADAL",'Forecast 2027'!$G18="GADAL"),'Forecast 2027'!$D18,"")</f>
        <v>49.878663003663</v>
      </c>
      <c r="E19" s="20" t="str">
        <f aca="false">IF(OR('Forecast 2027'!$F18="GAGAI",'Forecast 2027'!$G18="GAGAI"),'Forecast 2027'!$D18,"")</f>
        <v/>
      </c>
      <c r="F19" s="20" t="n">
        <f aca="false">IF(OR('Forecast 2027'!$F18="GAGWI",'Forecast 2027'!$G18="GAGWI"),'Forecast 2027'!$D18,"")</f>
        <v>49.878663003663</v>
      </c>
      <c r="G19" s="20" t="str">
        <f aca="false">IF(OR('Forecast 2027'!$F18="GAALB",'Forecast 2027'!$G18="GAALB"),'Forecast 2027'!$D18,"")</f>
        <v/>
      </c>
      <c r="H19" s="20" t="str">
        <f aca="false">IF(OR('Forecast 2027'!$F18="GADOU",'Forecast 2027'!$G18="GADOU"),'Forecast 2027'!$D18,"")</f>
        <v/>
      </c>
    </row>
    <row r="20" customFormat="false" ht="15" hidden="false" customHeight="false" outlineLevel="0" collapsed="false">
      <c r="A20" s="19" t="n">
        <f aca="false">'Forecast 2027'!A19</f>
        <v>8080</v>
      </c>
      <c r="B20" s="19" t="n">
        <f aca="false">'Forecast 2027'!E19</f>
        <v>18</v>
      </c>
      <c r="C20" s="20" t="n">
        <f aca="false">'Forecast 2027'!D19</f>
        <v>48.7225274725275</v>
      </c>
      <c r="D20" s="20" t="str">
        <f aca="false">IF(OR('Forecast 2027'!$F19="GADAL",'Forecast 2027'!$G19="GADAL"),'Forecast 2027'!$D19,"")</f>
        <v/>
      </c>
      <c r="E20" s="20" t="n">
        <f aca="false">IF(OR('Forecast 2027'!$F19="GAGAI",'Forecast 2027'!$G19="GAGAI"),'Forecast 2027'!$D19,"")</f>
        <v>48.7225274725275</v>
      </c>
      <c r="F20" s="20" t="str">
        <f aca="false">IF(OR('Forecast 2027'!$F19="GAGWI",'Forecast 2027'!$G19="GAGWI"),'Forecast 2027'!$D19,"")</f>
        <v/>
      </c>
      <c r="G20" s="20" t="n">
        <f aca="false">IF(OR('Forecast 2027'!$F19="GAALB",'Forecast 2027'!$G19="GAALB"),'Forecast 2027'!$D19,"")</f>
        <v>48.7225274725275</v>
      </c>
      <c r="H20" s="20" t="str">
        <f aca="false">IF(OR('Forecast 2027'!$F19="GADOU",'Forecast 2027'!$G19="GADOU"),'Forecast 2027'!$D19,"")</f>
        <v/>
      </c>
    </row>
    <row r="21" customFormat="false" ht="15" hidden="false" customHeight="false" outlineLevel="0" collapsed="false">
      <c r="A21" s="19" t="n">
        <f aca="false">'Forecast 2027'!A20</f>
        <v>5900</v>
      </c>
      <c r="B21" s="19" t="n">
        <f aca="false">'Forecast 2027'!E20</f>
        <v>19</v>
      </c>
      <c r="C21" s="20" t="n">
        <f aca="false">'Forecast 2027'!D20</f>
        <v>47.1932234432234</v>
      </c>
      <c r="D21" s="20" t="n">
        <f aca="false">IF(OR('Forecast 2027'!$F20="GADAL",'Forecast 2027'!$G20="GADAL"),'Forecast 2027'!$D20,"")</f>
        <v>47.1932234432234</v>
      </c>
      <c r="E21" s="20" t="str">
        <f aca="false">IF(OR('Forecast 2027'!$F20="GAGAI",'Forecast 2027'!$G20="GAGAI"),'Forecast 2027'!$D20,"")</f>
        <v/>
      </c>
      <c r="F21" s="20" t="str">
        <f aca="false">IF(OR('Forecast 2027'!$F20="GAGWI",'Forecast 2027'!$G20="GAGWI"),'Forecast 2027'!$D20,"")</f>
        <v/>
      </c>
      <c r="G21" s="20" t="str">
        <f aca="false">IF(OR('Forecast 2027'!$F20="GAALB",'Forecast 2027'!$G20="GAALB"),'Forecast 2027'!$D20,"")</f>
        <v/>
      </c>
      <c r="H21" s="20" t="n">
        <f aca="false">IF(OR('Forecast 2027'!$F20="GADOU",'Forecast 2027'!$G20="GADOU"),'Forecast 2027'!$D20,"")</f>
        <v>47.1932234432234</v>
      </c>
    </row>
    <row r="22" customFormat="false" ht="15" hidden="false" customHeight="false" outlineLevel="0" collapsed="false">
      <c r="A22" s="19" t="n">
        <f aca="false">'Forecast 2027'!A21</f>
        <v>11174</v>
      </c>
      <c r="B22" s="19" t="n">
        <f aca="false">'Forecast 2027'!E21</f>
        <v>20</v>
      </c>
      <c r="C22" s="20" t="n">
        <f aca="false">'Forecast 2027'!D21</f>
        <v>45.5494505494506</v>
      </c>
      <c r="D22" s="20" t="str">
        <f aca="false">IF(OR('Forecast 2027'!$F21="GADAL",'Forecast 2027'!$G21="GADAL"),'Forecast 2027'!$D21,"")</f>
        <v/>
      </c>
      <c r="E22" s="20" t="n">
        <f aca="false">IF(OR('Forecast 2027'!$F21="GAGAI",'Forecast 2027'!$G21="GAGAI"),'Forecast 2027'!$D21,"")</f>
        <v>45.5494505494506</v>
      </c>
      <c r="F22" s="20" t="n">
        <f aca="false">IF(OR('Forecast 2027'!$F21="GAGWI",'Forecast 2027'!$G21="GAGWI"),'Forecast 2027'!$D21,"")</f>
        <v>45.5494505494506</v>
      </c>
      <c r="G22" s="20" t="str">
        <f aca="false">IF(OR('Forecast 2027'!$F21="GAALB",'Forecast 2027'!$G21="GAALB"),'Forecast 2027'!$D21,"")</f>
        <v/>
      </c>
      <c r="H22" s="20" t="str">
        <f aca="false">IF(OR('Forecast 2027'!$F21="GADOU",'Forecast 2027'!$G21="GADOU"),'Forecast 2027'!$D21,"")</f>
        <v/>
      </c>
    </row>
    <row r="23" customFormat="false" ht="15" hidden="false" customHeight="false" outlineLevel="0" collapsed="false">
      <c r="A23" s="19" t="n">
        <f aca="false">'Forecast 2027'!A22</f>
        <v>6340</v>
      </c>
      <c r="B23" s="19" t="n">
        <f aca="false">'Forecast 2027'!E22</f>
        <v>21</v>
      </c>
      <c r="C23" s="20" t="n">
        <f aca="false">'Forecast 2027'!D22</f>
        <v>45.4349816849817</v>
      </c>
      <c r="D23" s="20" t="str">
        <f aca="false">IF(OR('Forecast 2027'!$F22="GADAL",'Forecast 2027'!$G22="GADAL"),'Forecast 2027'!$D22,"")</f>
        <v/>
      </c>
      <c r="E23" s="20" t="n">
        <f aca="false">IF(OR('Forecast 2027'!$F22="GAGAI",'Forecast 2027'!$G22="GAGAI"),'Forecast 2027'!$D22,"")</f>
        <v>45.4349816849817</v>
      </c>
      <c r="F23" s="20" t="n">
        <f aca="false">IF(OR('Forecast 2027'!$F22="GAGWI",'Forecast 2027'!$G22="GAGWI"),'Forecast 2027'!$D22,"")</f>
        <v>45.4349816849817</v>
      </c>
      <c r="G23" s="20" t="str">
        <f aca="false">IF(OR('Forecast 2027'!$F22="GAALB",'Forecast 2027'!$G22="GAALB"),'Forecast 2027'!$D22,"")</f>
        <v/>
      </c>
      <c r="H23" s="20" t="str">
        <f aca="false">IF(OR('Forecast 2027'!$F22="GADOU",'Forecast 2027'!$G22="GADOU"),'Forecast 2027'!$D22,"")</f>
        <v/>
      </c>
    </row>
    <row r="24" customFormat="false" ht="15" hidden="false" customHeight="false" outlineLevel="0" collapsed="false">
      <c r="A24" s="19" t="n">
        <f aca="false">'Forecast 2027'!A23</f>
        <v>6705</v>
      </c>
      <c r="B24" s="19" t="n">
        <f aca="false">'Forecast 2027'!E23</f>
        <v>22</v>
      </c>
      <c r="C24" s="20" t="n">
        <f aca="false">'Forecast 2027'!D23</f>
        <v>44.5077838827839</v>
      </c>
      <c r="D24" s="20" t="str">
        <f aca="false">IF(OR('Forecast 2027'!$F23="GADAL",'Forecast 2027'!$G23="GADAL"),'Forecast 2027'!$D23,"")</f>
        <v/>
      </c>
      <c r="E24" s="20" t="n">
        <f aca="false">IF(OR('Forecast 2027'!$F23="GAGAI",'Forecast 2027'!$G23="GAGAI"),'Forecast 2027'!$D23,"")</f>
        <v>44.5077838827839</v>
      </c>
      <c r="F24" s="20" t="n">
        <f aca="false">IF(OR('Forecast 2027'!$F23="GAGWI",'Forecast 2027'!$G23="GAGWI"),'Forecast 2027'!$D23,"")</f>
        <v>44.5077838827839</v>
      </c>
      <c r="G24" s="20" t="str">
        <f aca="false">IF(OR('Forecast 2027'!$F23="GAALB",'Forecast 2027'!$G23="GAALB"),'Forecast 2027'!$D23,"")</f>
        <v/>
      </c>
      <c r="H24" s="20" t="str">
        <f aca="false">IF(OR('Forecast 2027'!$F23="GADOU",'Forecast 2027'!$G23="GADOU"),'Forecast 2027'!$D23,"")</f>
        <v/>
      </c>
    </row>
    <row r="25" customFormat="false" ht="15" hidden="false" customHeight="false" outlineLevel="0" collapsed="false">
      <c r="A25" s="19" t="n">
        <f aca="false">'Forecast 2027'!A24</f>
        <v>6772</v>
      </c>
      <c r="B25" s="19" t="n">
        <f aca="false">'Forecast 2027'!E24</f>
        <v>23</v>
      </c>
      <c r="C25" s="20" t="n">
        <f aca="false">'Forecast 2027'!D24</f>
        <v>43.9537545787546</v>
      </c>
      <c r="D25" s="20" t="n">
        <f aca="false">IF(OR('Forecast 2027'!$F24="GADAL",'Forecast 2027'!$G24="GADAL"),'Forecast 2027'!$D24,"")</f>
        <v>43.9537545787546</v>
      </c>
      <c r="E25" s="20" t="str">
        <f aca="false">IF(OR('Forecast 2027'!$F24="GAGAI",'Forecast 2027'!$G24="GAGAI"),'Forecast 2027'!$D24,"")</f>
        <v/>
      </c>
      <c r="F25" s="20" t="str">
        <f aca="false">IF(OR('Forecast 2027'!$F24="GAGWI",'Forecast 2027'!$G24="GAGWI"),'Forecast 2027'!$D24,"")</f>
        <v/>
      </c>
      <c r="G25" s="20" t="str">
        <f aca="false">IF(OR('Forecast 2027'!$F24="GAALB",'Forecast 2027'!$G24="GAALB"),'Forecast 2027'!$D24,"")</f>
        <v/>
      </c>
      <c r="H25" s="20" t="n">
        <f aca="false">IF(OR('Forecast 2027'!$F24="GADOU",'Forecast 2027'!$G24="GADOU"),'Forecast 2027'!$D24,"")</f>
        <v>43.9537545787546</v>
      </c>
    </row>
    <row r="26" customFormat="false" ht="15" hidden="false" customHeight="false" outlineLevel="0" collapsed="false">
      <c r="A26" s="19" t="n">
        <f aca="false">'Forecast 2027'!A25</f>
        <v>1414</v>
      </c>
      <c r="B26" s="19" t="n">
        <f aca="false">'Forecast 2027'!E25</f>
        <v>24</v>
      </c>
      <c r="C26" s="20" t="n">
        <f aca="false">'Forecast 2027'!D25</f>
        <v>42.3099816849817</v>
      </c>
      <c r="D26" s="20" t="str">
        <f aca="false">IF(OR('Forecast 2027'!$F25="GADAL",'Forecast 2027'!$G25="GADAL"),'Forecast 2027'!$D25,"")</f>
        <v/>
      </c>
      <c r="E26" s="20" t="n">
        <f aca="false">IF(OR('Forecast 2027'!$F25="GAGAI",'Forecast 2027'!$G25="GAGAI"),'Forecast 2027'!$D25,"")</f>
        <v>42.3099816849817</v>
      </c>
      <c r="F26" s="20" t="str">
        <f aca="false">IF(OR('Forecast 2027'!$F25="GAGWI",'Forecast 2027'!$G25="GAGWI"),'Forecast 2027'!$D25,"")</f>
        <v/>
      </c>
      <c r="G26" s="20" t="str">
        <f aca="false">IF(OR('Forecast 2027'!$F25="GAALB",'Forecast 2027'!$G25="GAALB"),'Forecast 2027'!$D25,"")</f>
        <v/>
      </c>
      <c r="H26" s="20" t="n">
        <f aca="false">IF(OR('Forecast 2027'!$F25="GADOU",'Forecast 2027'!$G25="GADOU"),'Forecast 2027'!$D25,"")</f>
        <v>42.3099816849817</v>
      </c>
    </row>
    <row r="27" customFormat="false" ht="15" hidden="false" customHeight="false" outlineLevel="0" collapsed="false">
      <c r="A27" s="19" t="n">
        <f aca="false">'Forecast 2027'!A26</f>
        <v>6925</v>
      </c>
      <c r="B27" s="19" t="n">
        <f aca="false">'Forecast 2027'!E26</f>
        <v>25</v>
      </c>
      <c r="C27" s="20" t="n">
        <f aca="false">'Forecast 2027'!D26</f>
        <v>39.720695970696</v>
      </c>
      <c r="D27" s="20" t="str">
        <f aca="false">IF(OR('Forecast 2027'!$F26="GADAL",'Forecast 2027'!$G26="GADAL"),'Forecast 2027'!$D26,"")</f>
        <v/>
      </c>
      <c r="E27" s="20" t="str">
        <f aca="false">IF(OR('Forecast 2027'!$F26="GAGAI",'Forecast 2027'!$G26="GAGAI"),'Forecast 2027'!$D26,"")</f>
        <v/>
      </c>
      <c r="F27" s="20" t="str">
        <f aca="false">IF(OR('Forecast 2027'!$F26="GAGWI",'Forecast 2027'!$G26="GAGWI"),'Forecast 2027'!$D26,"")</f>
        <v/>
      </c>
      <c r="G27" s="20" t="n">
        <f aca="false">IF(OR('Forecast 2027'!$F26="GAALB",'Forecast 2027'!$G26="GAALB"),'Forecast 2027'!$D26,"")</f>
        <v>39.720695970696</v>
      </c>
      <c r="H27" s="20" t="n">
        <f aca="false">IF(OR('Forecast 2027'!$F26="GADOU",'Forecast 2027'!$G26="GADOU"),'Forecast 2027'!$D26,"")</f>
        <v>39.720695970696</v>
      </c>
    </row>
    <row r="28" customFormat="false" ht="15" hidden="false" customHeight="false" outlineLevel="0" collapsed="false">
      <c r="A28" s="19" t="n">
        <f aca="false">'Forecast 2027'!A27</f>
        <v>3329</v>
      </c>
      <c r="B28" s="19" t="n">
        <f aca="false">'Forecast 2027'!E27</f>
        <v>26</v>
      </c>
      <c r="C28" s="20" t="n">
        <f aca="false">'Forecast 2027'!D27</f>
        <v>39.720695970696</v>
      </c>
      <c r="D28" s="20" t="n">
        <f aca="false">IF(OR('Forecast 2027'!$F27="GADAL",'Forecast 2027'!$G27="GADAL"),'Forecast 2027'!$D27,"")</f>
        <v>39.720695970696</v>
      </c>
      <c r="E28" s="20" t="str">
        <f aca="false">IF(OR('Forecast 2027'!$F27="GAGAI",'Forecast 2027'!$G27="GAGAI"),'Forecast 2027'!$D27,"")</f>
        <v/>
      </c>
      <c r="F28" s="20" t="str">
        <f aca="false">IF(OR('Forecast 2027'!$F27="GAGWI",'Forecast 2027'!$G27="GAGWI"),'Forecast 2027'!$D27,"")</f>
        <v/>
      </c>
      <c r="G28" s="20" t="n">
        <f aca="false">IF(OR('Forecast 2027'!$F27="GAALB",'Forecast 2027'!$G27="GAALB"),'Forecast 2027'!$D27,"")</f>
        <v>39.720695970696</v>
      </c>
      <c r="H28" s="20" t="str">
        <f aca="false">IF(OR('Forecast 2027'!$F27="GADOU",'Forecast 2027'!$G27="GADOU"),'Forecast 2027'!$D27,"")</f>
        <v/>
      </c>
    </row>
    <row r="29" customFormat="false" ht="15" hidden="false" customHeight="false" outlineLevel="0" collapsed="false">
      <c r="A29" s="19" t="n">
        <f aca="false">'Forecast 2027'!A28</f>
        <v>8736</v>
      </c>
      <c r="B29" s="19" t="n">
        <f aca="false">'Forecast 2027'!E28</f>
        <v>27</v>
      </c>
      <c r="C29" s="20" t="n">
        <f aca="false">'Forecast 2027'!D28</f>
        <v>39.5581501831502</v>
      </c>
      <c r="D29" s="20" t="n">
        <f aca="false">IF(OR('Forecast 2027'!$F28="GADAL",'Forecast 2027'!$G28="GADAL"),'Forecast 2027'!$D28,"")</f>
        <v>39.5581501831502</v>
      </c>
      <c r="E29" s="20" t="str">
        <f aca="false">IF(OR('Forecast 2027'!$F28="GAGAI",'Forecast 2027'!$G28="GAGAI"),'Forecast 2027'!$D28,"")</f>
        <v/>
      </c>
      <c r="F29" s="20" t="str">
        <f aca="false">IF(OR('Forecast 2027'!$F28="GAGWI",'Forecast 2027'!$G28="GAGWI"),'Forecast 2027'!$D28,"")</f>
        <v/>
      </c>
      <c r="G29" s="20" t="n">
        <f aca="false">IF(OR('Forecast 2027'!$F28="GAALB",'Forecast 2027'!$G28="GAALB"),'Forecast 2027'!$D28,"")</f>
        <v>39.5581501831502</v>
      </c>
      <c r="H29" s="20" t="str">
        <f aca="false">IF(OR('Forecast 2027'!$F28="GADOU",'Forecast 2027'!$G28="GADOU"),'Forecast 2027'!$D28,"")</f>
        <v/>
      </c>
    </row>
    <row r="30" customFormat="false" ht="15" hidden="false" customHeight="false" outlineLevel="0" collapsed="false">
      <c r="A30" s="19" t="n">
        <f aca="false">'Forecast 2027'!A29</f>
        <v>3091</v>
      </c>
      <c r="B30" s="19" t="n">
        <f aca="false">'Forecast 2027'!E29</f>
        <v>28</v>
      </c>
      <c r="C30" s="20" t="n">
        <f aca="false">'Forecast 2027'!D29</f>
        <v>38.6663336663337</v>
      </c>
      <c r="D30" s="20" t="str">
        <f aca="false">IF(OR('Forecast 2027'!$F29="GADAL",'Forecast 2027'!$G29="GADAL"),'Forecast 2027'!$D29,"")</f>
        <v/>
      </c>
      <c r="E30" s="20" t="str">
        <f aca="false">IF(OR('Forecast 2027'!$F29="GAGAI",'Forecast 2027'!$G29="GAGAI"),'Forecast 2027'!$D29,"")</f>
        <v/>
      </c>
      <c r="F30" s="20" t="str">
        <f aca="false">IF(OR('Forecast 2027'!$F29="GAGWI",'Forecast 2027'!$G29="GAGWI"),'Forecast 2027'!$D29,"")</f>
        <v/>
      </c>
      <c r="G30" s="20" t="n">
        <f aca="false">IF(OR('Forecast 2027'!$F29="GAALB",'Forecast 2027'!$G29="GAALB"),'Forecast 2027'!$D29,"")</f>
        <v>38.6663336663337</v>
      </c>
      <c r="H30" s="20" t="n">
        <f aca="false">IF(OR('Forecast 2027'!$F29="GADOU",'Forecast 2027'!$G29="GADOU"),'Forecast 2027'!$D29,"")</f>
        <v>38.6663336663337</v>
      </c>
    </row>
    <row r="31" customFormat="false" ht="15" hidden="false" customHeight="false" outlineLevel="0" collapsed="false">
      <c r="A31" s="19" t="n">
        <f aca="false">'Forecast 2027'!A30</f>
        <v>1746</v>
      </c>
      <c r="B31" s="19" t="n">
        <f aca="false">'Forecast 2027'!E30</f>
        <v>29</v>
      </c>
      <c r="C31" s="20" t="n">
        <f aca="false">'Forecast 2027'!D30</f>
        <v>37.5228937728938</v>
      </c>
      <c r="D31" s="20" t="n">
        <f aca="false">IF(OR('Forecast 2027'!$F30="GADAL",'Forecast 2027'!$G30="GADAL"),'Forecast 2027'!$D30,"")</f>
        <v>37.5228937728938</v>
      </c>
      <c r="E31" s="20" t="n">
        <f aca="false">IF(OR('Forecast 2027'!$F30="GAGAI",'Forecast 2027'!$G30="GAGAI"),'Forecast 2027'!$D30,"")</f>
        <v>37.5228937728938</v>
      </c>
      <c r="F31" s="20" t="str">
        <f aca="false">IF(OR('Forecast 2027'!$F30="GAGWI",'Forecast 2027'!$G30="GAGWI"),'Forecast 2027'!$D30,"")</f>
        <v/>
      </c>
      <c r="G31" s="20" t="str">
        <f aca="false">IF(OR('Forecast 2027'!$F30="GAALB",'Forecast 2027'!$G30="GAALB"),'Forecast 2027'!$D30,"")</f>
        <v/>
      </c>
      <c r="H31" s="20" t="str">
        <f aca="false">IF(OR('Forecast 2027'!$F30="GADOU",'Forecast 2027'!$G30="GADOU"),'Forecast 2027'!$D30,"")</f>
        <v/>
      </c>
    </row>
    <row r="32" customFormat="false" ht="15" hidden="false" customHeight="false" outlineLevel="0" collapsed="false">
      <c r="A32" s="19" t="n">
        <f aca="false">'Forecast 2027'!A31</f>
        <v>6023</v>
      </c>
      <c r="B32" s="19" t="n">
        <f aca="false">'Forecast 2027'!E31</f>
        <v>30</v>
      </c>
      <c r="C32" s="20" t="n">
        <f aca="false">'Forecast 2027'!D31</f>
        <v>37.3476523476524</v>
      </c>
      <c r="D32" s="20" t="n">
        <f aca="false">IF(OR('Forecast 2027'!$F31="GADAL",'Forecast 2027'!$G31="GADAL"),'Forecast 2027'!$D31,"")</f>
        <v>37.3476523476524</v>
      </c>
      <c r="E32" s="20" t="str">
        <f aca="false">IF(OR('Forecast 2027'!$F31="GAGAI",'Forecast 2027'!$G31="GAGAI"),'Forecast 2027'!$D31,"")</f>
        <v/>
      </c>
      <c r="F32" s="20" t="str">
        <f aca="false">IF(OR('Forecast 2027'!$F31="GAGWI",'Forecast 2027'!$G31="GAGWI"),'Forecast 2027'!$D31,"")</f>
        <v/>
      </c>
      <c r="G32" s="20" t="n">
        <f aca="false">IF(OR('Forecast 2027'!$F31="GAALB",'Forecast 2027'!$G31="GAALB"),'Forecast 2027'!$D31,"")</f>
        <v>37.3476523476524</v>
      </c>
      <c r="H32" s="20" t="str">
        <f aca="false">IF(OR('Forecast 2027'!$F31="GADOU",'Forecast 2027'!$G31="GADOU"),'Forecast 2027'!$D31,"")</f>
        <v/>
      </c>
    </row>
    <row r="33" customFormat="false" ht="15" hidden="false" customHeight="false" outlineLevel="0" collapsed="false">
      <c r="A33" s="19" t="n">
        <f aca="false">'Forecast 2027'!A32</f>
        <v>10482</v>
      </c>
      <c r="B33" s="19" t="n">
        <f aca="false">'Forecast 2027'!E32</f>
        <v>31</v>
      </c>
      <c r="C33" s="20" t="n">
        <f aca="false">'Forecast 2027'!D32</f>
        <v>35.831342570473</v>
      </c>
      <c r="D33" s="20" t="str">
        <f aca="false">IF(OR('Forecast 2027'!$F32="GADAL",'Forecast 2027'!$G32="GADAL"),'Forecast 2027'!$D32,"")</f>
        <v/>
      </c>
      <c r="E33" s="20" t="n">
        <f aca="false">IF(OR('Forecast 2027'!$F32="GAGAI",'Forecast 2027'!$G32="GAGAI"),'Forecast 2027'!$D32,"")</f>
        <v>35.831342570473</v>
      </c>
      <c r="F33" s="20" t="n">
        <f aca="false">IF(OR('Forecast 2027'!$F32="GAGWI",'Forecast 2027'!$G32="GAGWI"),'Forecast 2027'!$D32,"")</f>
        <v>35.831342570473</v>
      </c>
      <c r="G33" s="20" t="str">
        <f aca="false">IF(OR('Forecast 2027'!$F32="GAALB",'Forecast 2027'!$G32="GAALB"),'Forecast 2027'!$D32,"")</f>
        <v/>
      </c>
      <c r="H33" s="20" t="str">
        <f aca="false">IF(OR('Forecast 2027'!$F32="GADOU",'Forecast 2027'!$G32="GADOU"),'Forecast 2027'!$D32,"")</f>
        <v/>
      </c>
    </row>
    <row r="34" customFormat="false" ht="15" hidden="false" customHeight="false" outlineLevel="0" collapsed="false">
      <c r="A34" s="19" t="n">
        <f aca="false">'Forecast 2027'!A33</f>
        <v>9480</v>
      </c>
      <c r="B34" s="19" t="n">
        <f aca="false">'Forecast 2027'!E33</f>
        <v>32</v>
      </c>
      <c r="C34" s="20" t="n">
        <f aca="false">'Forecast 2027'!D33</f>
        <v>35.4876373626374</v>
      </c>
      <c r="D34" s="20" t="n">
        <f aca="false">IF(OR('Forecast 2027'!$F33="GADAL",'Forecast 2027'!$G33="GADAL"),'Forecast 2027'!$D33,"")</f>
        <v>35.4876373626374</v>
      </c>
      <c r="E34" s="20" t="str">
        <f aca="false">IF(OR('Forecast 2027'!$F33="GAGAI",'Forecast 2027'!$G33="GAGAI"),'Forecast 2027'!$D33,"")</f>
        <v/>
      </c>
      <c r="F34" s="20" t="n">
        <f aca="false">IF(OR('Forecast 2027'!$F33="GAGWI",'Forecast 2027'!$G33="GAGWI"),'Forecast 2027'!$D33,"")</f>
        <v>35.4876373626374</v>
      </c>
      <c r="G34" s="20" t="str">
        <f aca="false">IF(OR('Forecast 2027'!$F33="GAALB",'Forecast 2027'!$G33="GAALB"),'Forecast 2027'!$D33,"")</f>
        <v/>
      </c>
      <c r="H34" s="20" t="str">
        <f aca="false">IF(OR('Forecast 2027'!$F33="GADOU",'Forecast 2027'!$G33="GADOU"),'Forecast 2027'!$D33,"")</f>
        <v/>
      </c>
    </row>
    <row r="35" customFormat="false" ht="15" hidden="false" customHeight="false" outlineLevel="0" collapsed="false">
      <c r="A35" s="19" t="n">
        <f aca="false">'Forecast 2027'!A34</f>
        <v>3344</v>
      </c>
      <c r="B35" s="19" t="n">
        <f aca="false">'Forecast 2027'!E34</f>
        <v>33</v>
      </c>
      <c r="C35" s="20" t="n">
        <f aca="false">'Forecast 2027'!D34</f>
        <v>35.2289377289377</v>
      </c>
      <c r="D35" s="20" t="str">
        <f aca="false">IF(OR('Forecast 2027'!$F34="GADAL",'Forecast 2027'!$G34="GADAL"),'Forecast 2027'!$D34,"")</f>
        <v/>
      </c>
      <c r="E35" s="20" t="n">
        <f aca="false">IF(OR('Forecast 2027'!$F34="GAGAI",'Forecast 2027'!$G34="GAGAI"),'Forecast 2027'!$D34,"")</f>
        <v>35.2289377289377</v>
      </c>
      <c r="F35" s="20" t="str">
        <f aca="false">IF(OR('Forecast 2027'!$F34="GAGWI",'Forecast 2027'!$G34="GAGWI"),'Forecast 2027'!$D34,"")</f>
        <v/>
      </c>
      <c r="G35" s="20" t="str">
        <f aca="false">IF(OR('Forecast 2027'!$F34="GAALB",'Forecast 2027'!$G34="GAALB"),'Forecast 2027'!$D34,"")</f>
        <v/>
      </c>
      <c r="H35" s="20" t="n">
        <f aca="false">IF(OR('Forecast 2027'!$F34="GADOU",'Forecast 2027'!$G34="GADOU"),'Forecast 2027'!$D34,"")</f>
        <v>35.2289377289377</v>
      </c>
    </row>
    <row r="36" customFormat="false" ht="15" hidden="false" customHeight="false" outlineLevel="0" collapsed="false">
      <c r="A36" s="19" t="n">
        <f aca="false">'Forecast 2027'!A35</f>
        <v>5219</v>
      </c>
      <c r="B36" s="19" t="n">
        <f aca="false">'Forecast 2027'!E35</f>
        <v>34</v>
      </c>
      <c r="C36" s="20" t="n">
        <f aca="false">'Forecast 2027'!D35</f>
        <v>35.2106227106227</v>
      </c>
      <c r="D36" s="20" t="n">
        <f aca="false">IF(OR('Forecast 2027'!$F35="GADAL",'Forecast 2027'!$G35="GADAL"),'Forecast 2027'!$D35,"")</f>
        <v>35.2106227106227</v>
      </c>
      <c r="E36" s="20" t="str">
        <f aca="false">IF(OR('Forecast 2027'!$F35="GAGAI",'Forecast 2027'!$G35="GAGAI"),'Forecast 2027'!$D35,"")</f>
        <v/>
      </c>
      <c r="F36" s="20" t="str">
        <f aca="false">IF(OR('Forecast 2027'!$F35="GAGWI",'Forecast 2027'!$G35="GAGWI"),'Forecast 2027'!$D35,"")</f>
        <v/>
      </c>
      <c r="G36" s="20" t="str">
        <f aca="false">IF(OR('Forecast 2027'!$F35="GAALB",'Forecast 2027'!$G35="GAALB"),'Forecast 2027'!$D35,"")</f>
        <v/>
      </c>
      <c r="H36" s="20" t="n">
        <f aca="false">IF(OR('Forecast 2027'!$F35="GADOU",'Forecast 2027'!$G35="GADOU"),'Forecast 2027'!$D35,"")</f>
        <v>35.2106227106227</v>
      </c>
    </row>
    <row r="37" customFormat="false" ht="15" hidden="false" customHeight="false" outlineLevel="0" collapsed="false">
      <c r="A37" s="19" t="n">
        <f aca="false">'Forecast 2027'!A36</f>
        <v>6887</v>
      </c>
      <c r="B37" s="19" t="n">
        <f aca="false">'Forecast 2027'!E36</f>
        <v>35</v>
      </c>
      <c r="C37" s="20" t="n">
        <f aca="false">'Forecast 2027'!D36</f>
        <v>35.1144688644689</v>
      </c>
      <c r="D37" s="20" t="n">
        <f aca="false">IF(OR('Forecast 2027'!$F36="GADAL",'Forecast 2027'!$G36="GADAL"),'Forecast 2027'!$D36,"")</f>
        <v>35.1144688644689</v>
      </c>
      <c r="E37" s="20" t="str">
        <f aca="false">IF(OR('Forecast 2027'!$F36="GAGAI",'Forecast 2027'!$G36="GAGAI"),'Forecast 2027'!$D36,"")</f>
        <v/>
      </c>
      <c r="F37" s="20" t="str">
        <f aca="false">IF(OR('Forecast 2027'!$F36="GAGWI",'Forecast 2027'!$G36="GAGWI"),'Forecast 2027'!$D36,"")</f>
        <v/>
      </c>
      <c r="G37" s="20" t="str">
        <f aca="false">IF(OR('Forecast 2027'!$F36="GAALB",'Forecast 2027'!$G36="GAALB"),'Forecast 2027'!$D36,"")</f>
        <v/>
      </c>
      <c r="H37" s="20" t="n">
        <f aca="false">IF(OR('Forecast 2027'!$F36="GADOU",'Forecast 2027'!$G36="GADOU"),'Forecast 2027'!$D36,"")</f>
        <v>35.1144688644689</v>
      </c>
    </row>
    <row r="38" customFormat="false" ht="15" hidden="false" customHeight="false" outlineLevel="0" collapsed="false">
      <c r="A38" s="19" t="n">
        <f aca="false">'Forecast 2027'!A37</f>
        <v>8866</v>
      </c>
      <c r="B38" s="19" t="n">
        <f aca="false">'Forecast 2027'!E37</f>
        <v>36</v>
      </c>
      <c r="C38" s="20" t="n">
        <f aca="false">'Forecast 2027'!D37</f>
        <v>34.9038461538462</v>
      </c>
      <c r="D38" s="20" t="n">
        <f aca="false">IF(OR('Forecast 2027'!$F37="GADAL",'Forecast 2027'!$G37="GADAL"),'Forecast 2027'!$D37,"")</f>
        <v>34.9038461538462</v>
      </c>
      <c r="E38" s="20" t="str">
        <f aca="false">IF(OR('Forecast 2027'!$F37="GAGAI",'Forecast 2027'!$G37="GAGAI"),'Forecast 2027'!$D37,"")</f>
        <v/>
      </c>
      <c r="F38" s="20" t="str">
        <f aca="false">IF(OR('Forecast 2027'!$F37="GAGWI",'Forecast 2027'!$G37="GAGWI"),'Forecast 2027'!$D37,"")</f>
        <v/>
      </c>
      <c r="G38" s="20" t="n">
        <f aca="false">IF(OR('Forecast 2027'!$F37="GAALB",'Forecast 2027'!$G37="GAALB"),'Forecast 2027'!$D37,"")</f>
        <v>34.9038461538462</v>
      </c>
      <c r="H38" s="20" t="str">
        <f aca="false">IF(OR('Forecast 2027'!$F37="GADOU",'Forecast 2027'!$G37="GADOU"),'Forecast 2027'!$D37,"")</f>
        <v/>
      </c>
    </row>
    <row r="39" customFormat="false" ht="15" hidden="false" customHeight="false" outlineLevel="0" collapsed="false">
      <c r="A39" s="19" t="n">
        <f aca="false">'Forecast 2027'!A38</f>
        <v>9522</v>
      </c>
      <c r="B39" s="19" t="n">
        <f aca="false">'Forecast 2027'!E38</f>
        <v>37</v>
      </c>
      <c r="C39" s="20" t="n">
        <f aca="false">'Forecast 2027'!D38</f>
        <v>34.8855311355311</v>
      </c>
      <c r="D39" s="20" t="str">
        <f aca="false">IF(OR('Forecast 2027'!$F38="GADAL",'Forecast 2027'!$G38="GADAL"),'Forecast 2027'!$D38,"")</f>
        <v/>
      </c>
      <c r="E39" s="20" t="n">
        <f aca="false">IF(OR('Forecast 2027'!$F38="GAGAI",'Forecast 2027'!$G38="GAGAI"),'Forecast 2027'!$D38,"")</f>
        <v>34.8855311355311</v>
      </c>
      <c r="F39" s="20" t="n">
        <f aca="false">IF(OR('Forecast 2027'!$F38="GAGWI",'Forecast 2027'!$G38="GAGWI"),'Forecast 2027'!$D38,"")</f>
        <v>34.8855311355311</v>
      </c>
      <c r="G39" s="20" t="str">
        <f aca="false">IF(OR('Forecast 2027'!$F38="GAALB",'Forecast 2027'!$G38="GAALB"),'Forecast 2027'!$D38,"")</f>
        <v/>
      </c>
      <c r="H39" s="20" t="str">
        <f aca="false">IF(OR('Forecast 2027'!$F38="GADOU",'Forecast 2027'!$G38="GADOU"),'Forecast 2027'!$D38,"")</f>
        <v/>
      </c>
    </row>
    <row r="40" customFormat="false" ht="15" hidden="false" customHeight="false" outlineLevel="0" collapsed="false">
      <c r="A40" s="19" t="n">
        <f aca="false">'Forecast 2027'!A39</f>
        <v>9561</v>
      </c>
      <c r="B40" s="19" t="n">
        <f aca="false">'Forecast 2027'!E39</f>
        <v>38</v>
      </c>
      <c r="C40" s="20" t="n">
        <f aca="false">'Forecast 2027'!D39</f>
        <v>33.3166833166833</v>
      </c>
      <c r="D40" s="20" t="str">
        <f aca="false">IF(OR('Forecast 2027'!$F39="GADAL",'Forecast 2027'!$G39="GADAL"),'Forecast 2027'!$D39,"")</f>
        <v/>
      </c>
      <c r="E40" s="20" t="n">
        <f aca="false">IF(OR('Forecast 2027'!$F39="GAGAI",'Forecast 2027'!$G39="GAGAI"),'Forecast 2027'!$D39,"")</f>
        <v>33.3166833166833</v>
      </c>
      <c r="F40" s="20" t="n">
        <f aca="false">IF(OR('Forecast 2027'!$F39="GAGWI",'Forecast 2027'!$G39="GAGWI"),'Forecast 2027'!$D39,"")</f>
        <v>33.3166833166833</v>
      </c>
      <c r="G40" s="20" t="str">
        <f aca="false">IF(OR('Forecast 2027'!$F39="GAALB",'Forecast 2027'!$G39="GAALB"),'Forecast 2027'!$D39,"")</f>
        <v/>
      </c>
      <c r="H40" s="20" t="str">
        <f aca="false">IF(OR('Forecast 2027'!$F39="GADOU",'Forecast 2027'!$G39="GADOU"),'Forecast 2027'!$D39,"")</f>
        <v/>
      </c>
    </row>
    <row r="41" customFormat="false" ht="15" hidden="false" customHeight="false" outlineLevel="0" collapsed="false">
      <c r="A41" s="19" t="n">
        <f aca="false">'Forecast 2027'!A40</f>
        <v>3815</v>
      </c>
      <c r="B41" s="19" t="n">
        <f aca="false">'Forecast 2027'!E40</f>
        <v>39</v>
      </c>
      <c r="C41" s="20" t="n">
        <f aca="false">'Forecast 2027'!D40</f>
        <v>33.2600732600733</v>
      </c>
      <c r="D41" s="20" t="str">
        <f aca="false">IF(OR('Forecast 2027'!$F40="GADAL",'Forecast 2027'!$G40="GADAL"),'Forecast 2027'!$D40,"")</f>
        <v/>
      </c>
      <c r="E41" s="20" t="n">
        <f aca="false">IF(OR('Forecast 2027'!$F40="GAGAI",'Forecast 2027'!$G40="GAGAI"),'Forecast 2027'!$D40,"")</f>
        <v>33.2600732600733</v>
      </c>
      <c r="F41" s="20" t="str">
        <f aca="false">IF(OR('Forecast 2027'!$F40="GAGWI",'Forecast 2027'!$G40="GAGWI"),'Forecast 2027'!$D40,"")</f>
        <v/>
      </c>
      <c r="G41" s="20" t="str">
        <f aca="false">IF(OR('Forecast 2027'!$F40="GAALB",'Forecast 2027'!$G40="GAALB"),'Forecast 2027'!$D40,"")</f>
        <v/>
      </c>
      <c r="H41" s="20" t="n">
        <f aca="false">IF(OR('Forecast 2027'!$F40="GADOU",'Forecast 2027'!$G40="GADOU"),'Forecast 2027'!$D40,"")</f>
        <v>33.2600732600733</v>
      </c>
    </row>
    <row r="42" customFormat="false" ht="15" hidden="false" customHeight="false" outlineLevel="0" collapsed="false">
      <c r="A42" s="19" t="n">
        <f aca="false">'Forecast 2027'!A41</f>
        <v>8815</v>
      </c>
      <c r="B42" s="19" t="n">
        <f aca="false">'Forecast 2027'!E41</f>
        <v>41</v>
      </c>
      <c r="C42" s="20" t="n">
        <f aca="false">'Forecast 2027'!D41</f>
        <v>31.9230769230769</v>
      </c>
      <c r="D42" s="20" t="str">
        <f aca="false">IF(OR('Forecast 2027'!$F41="GADAL",'Forecast 2027'!$G41="GADAL"),'Forecast 2027'!$D41,"")</f>
        <v/>
      </c>
      <c r="E42" s="20" t="n">
        <f aca="false">IF(OR('Forecast 2027'!$F41="GAGAI",'Forecast 2027'!$G41="GAGAI"),'Forecast 2027'!$D41,"")</f>
        <v>31.9230769230769</v>
      </c>
      <c r="F42" s="20" t="n">
        <f aca="false">IF(OR('Forecast 2027'!$F41="GAGWI",'Forecast 2027'!$G41="GAGWI"),'Forecast 2027'!$D41,"")</f>
        <v>31.9230769230769</v>
      </c>
      <c r="G42" s="20" t="str">
        <f aca="false">IF(OR('Forecast 2027'!$F41="GAALB",'Forecast 2027'!$G41="GAALB"),'Forecast 2027'!$D41,"")</f>
        <v/>
      </c>
      <c r="H42" s="20" t="str">
        <f aca="false">IF(OR('Forecast 2027'!$F41="GADOU",'Forecast 2027'!$G41="GADOU"),'Forecast 2027'!$D41,"")</f>
        <v/>
      </c>
    </row>
    <row r="43" customFormat="false" ht="15" hidden="false" customHeight="false" outlineLevel="0" collapsed="false">
      <c r="A43" s="19" t="n">
        <f aca="false">'Forecast 2027'!A42</f>
        <v>6910</v>
      </c>
      <c r="B43" s="19" t="n">
        <f aca="false">'Forecast 2027'!E42</f>
        <v>40</v>
      </c>
      <c r="C43" s="20" t="n">
        <f aca="false">'Forecast 2027'!D42</f>
        <v>31.9230769230769</v>
      </c>
      <c r="D43" s="20" t="str">
        <f aca="false">IF(OR('Forecast 2027'!$F42="GADAL",'Forecast 2027'!$G42="GADAL"),'Forecast 2027'!$D42,"")</f>
        <v/>
      </c>
      <c r="E43" s="20" t="str">
        <f aca="false">IF(OR('Forecast 2027'!$F42="GAGAI",'Forecast 2027'!$G42="GAGAI"),'Forecast 2027'!$D42,"")</f>
        <v/>
      </c>
      <c r="F43" s="20" t="n">
        <f aca="false">IF(OR('Forecast 2027'!$F42="GAGWI",'Forecast 2027'!$G42="GAGWI"),'Forecast 2027'!$D42,"")</f>
        <v>31.9230769230769</v>
      </c>
      <c r="G43" s="20" t="str">
        <f aca="false">IF(OR('Forecast 2027'!$F42="GAALB",'Forecast 2027'!$G42="GAALB"),'Forecast 2027'!$D42,"")</f>
        <v/>
      </c>
      <c r="H43" s="20" t="n">
        <f aca="false">IF(OR('Forecast 2027'!$F42="GADOU",'Forecast 2027'!$G42="GADOU"),'Forecast 2027'!$D42,"")</f>
        <v>31.9230769230769</v>
      </c>
    </row>
    <row r="44" customFormat="false" ht="15" hidden="false" customHeight="false" outlineLevel="0" collapsed="false">
      <c r="A44" s="19" t="n">
        <f aca="false">'Forecast 2027'!A43</f>
        <v>4112</v>
      </c>
      <c r="B44" s="19" t="n">
        <f aca="false">'Forecast 2027'!E43</f>
        <v>42</v>
      </c>
      <c r="C44" s="20" t="n">
        <f aca="false">'Forecast 2027'!D43</f>
        <v>31.043956043956</v>
      </c>
      <c r="D44" s="20" t="n">
        <f aca="false">IF(OR('Forecast 2027'!$F43="GADAL",'Forecast 2027'!$G43="GADAL"),'Forecast 2027'!$D43,"")</f>
        <v>31.043956043956</v>
      </c>
      <c r="E44" s="20" t="str">
        <f aca="false">IF(OR('Forecast 2027'!$F43="GAGAI",'Forecast 2027'!$G43="GAGAI"),'Forecast 2027'!$D43,"")</f>
        <v/>
      </c>
      <c r="F44" s="20" t="str">
        <f aca="false">IF(OR('Forecast 2027'!$F43="GAGWI",'Forecast 2027'!$G43="GAGWI"),'Forecast 2027'!$D43,"")</f>
        <v/>
      </c>
      <c r="G44" s="20" t="str">
        <f aca="false">IF(OR('Forecast 2027'!$F43="GAALB",'Forecast 2027'!$G43="GAALB"),'Forecast 2027'!$D43,"")</f>
        <v/>
      </c>
      <c r="H44" s="20" t="n">
        <f aca="false">IF(OR('Forecast 2027'!$F43="GADOU",'Forecast 2027'!$G43="GADOU"),'Forecast 2027'!$D43,"")</f>
        <v>31.043956043956</v>
      </c>
    </row>
    <row r="45" customFormat="false" ht="15" hidden="false" customHeight="false" outlineLevel="0" collapsed="false">
      <c r="A45" s="19" t="n">
        <f aca="false">'Forecast 2027'!A44</f>
        <v>11214</v>
      </c>
      <c r="B45" s="19" t="n">
        <f aca="false">'Forecast 2027'!E44</f>
        <v>43</v>
      </c>
      <c r="C45" s="20" t="n">
        <f aca="false">'Forecast 2027'!D44</f>
        <v>30.9478021978022</v>
      </c>
      <c r="D45" s="20" t="n">
        <f aca="false">IF(OR('Forecast 2027'!$F44="GADAL",'Forecast 2027'!$G44="GADAL"),'Forecast 2027'!$D44,"")</f>
        <v>30.9478021978022</v>
      </c>
      <c r="E45" s="20" t="str">
        <f aca="false">IF(OR('Forecast 2027'!$F44="GAGAI",'Forecast 2027'!$G44="GAGAI"),'Forecast 2027'!$D44,"")</f>
        <v/>
      </c>
      <c r="F45" s="20" t="str">
        <f aca="false">IF(OR('Forecast 2027'!$F44="GAGWI",'Forecast 2027'!$G44="GAGWI"),'Forecast 2027'!$D44,"")</f>
        <v/>
      </c>
      <c r="G45" s="20" t="n">
        <f aca="false">IF(OR('Forecast 2027'!$F44="GAALB",'Forecast 2027'!$G44="GAALB"),'Forecast 2027'!$D44,"")</f>
        <v>30.9478021978022</v>
      </c>
      <c r="H45" s="20" t="str">
        <f aca="false">IF(OR('Forecast 2027'!$F44="GADOU",'Forecast 2027'!$G44="GADOU"),'Forecast 2027'!$D44,"")</f>
        <v/>
      </c>
    </row>
    <row r="46" customFormat="false" ht="15" hidden="false" customHeight="false" outlineLevel="0" collapsed="false">
      <c r="A46" s="19" t="n">
        <f aca="false">'Forecast 2027'!A45</f>
        <v>5608</v>
      </c>
      <c r="B46" s="19" t="n">
        <f aca="false">'Forecast 2027'!E45</f>
        <v>44</v>
      </c>
      <c r="C46" s="20" t="n">
        <f aca="false">'Forecast 2027'!D45</f>
        <v>30.4443382704252</v>
      </c>
      <c r="D46" s="20" t="n">
        <f aca="false">IF(OR('Forecast 2027'!$F45="GADAL",'Forecast 2027'!$G45="GADAL"),'Forecast 2027'!$D45,"")</f>
        <v>30.4443382704252</v>
      </c>
      <c r="E46" s="20" t="str">
        <f aca="false">IF(OR('Forecast 2027'!$F45="GAGAI",'Forecast 2027'!$G45="GAGAI"),'Forecast 2027'!$D45,"")</f>
        <v/>
      </c>
      <c r="F46" s="20" t="str">
        <f aca="false">IF(OR('Forecast 2027'!$F45="GAGWI",'Forecast 2027'!$G45="GAGWI"),'Forecast 2027'!$D45,"")</f>
        <v/>
      </c>
      <c r="G46" s="20" t="str">
        <f aca="false">IF(OR('Forecast 2027'!$F45="GAALB",'Forecast 2027'!$G45="GAALB"),'Forecast 2027'!$D45,"")</f>
        <v/>
      </c>
      <c r="H46" s="20" t="n">
        <f aca="false">IF(OR('Forecast 2027'!$F45="GADOU",'Forecast 2027'!$G45="GADOU"),'Forecast 2027'!$D45,"")</f>
        <v>30.4443382704252</v>
      </c>
    </row>
    <row r="47" customFormat="false" ht="15" hidden="false" customHeight="false" outlineLevel="0" collapsed="false">
      <c r="A47" s="19" t="n">
        <f aca="false">'Forecast 2027'!A46</f>
        <v>6905</v>
      </c>
      <c r="B47" s="19" t="n">
        <f aca="false">'Forecast 2027'!E46</f>
        <v>45</v>
      </c>
      <c r="C47" s="20" t="n">
        <f aca="false">'Forecast 2027'!D46</f>
        <v>29.4255744255744</v>
      </c>
      <c r="D47" s="20" t="n">
        <f aca="false">IF(OR('Forecast 2027'!$F46="GADAL",'Forecast 2027'!$G46="GADAL"),'Forecast 2027'!$D46,"")</f>
        <v>29.4255744255744</v>
      </c>
      <c r="E47" s="20" t="str">
        <f aca="false">IF(OR('Forecast 2027'!$F46="GAGAI",'Forecast 2027'!$G46="GAGAI"),'Forecast 2027'!$D46,"")</f>
        <v/>
      </c>
      <c r="F47" s="20" t="str">
        <f aca="false">IF(OR('Forecast 2027'!$F46="GAGWI",'Forecast 2027'!$G46="GAGWI"),'Forecast 2027'!$D46,"")</f>
        <v/>
      </c>
      <c r="G47" s="20" t="n">
        <f aca="false">IF(OR('Forecast 2027'!$F46="GAALB",'Forecast 2027'!$G46="GAALB"),'Forecast 2027'!$D46,"")</f>
        <v>29.4255744255744</v>
      </c>
      <c r="H47" s="20" t="str">
        <f aca="false">IF(OR('Forecast 2027'!$F46="GADOU",'Forecast 2027'!$G46="GADOU"),'Forecast 2027'!$D46,"")</f>
        <v/>
      </c>
    </row>
    <row r="48" customFormat="false" ht="15" hidden="false" customHeight="false" outlineLevel="0" collapsed="false">
      <c r="A48" s="19" t="n">
        <f aca="false">'Forecast 2027'!A47</f>
        <v>3635</v>
      </c>
      <c r="B48" s="19" t="n">
        <f aca="false">'Forecast 2027'!E47</f>
        <v>46</v>
      </c>
      <c r="C48" s="20" t="n">
        <f aca="false">'Forecast 2027'!D47</f>
        <v>28.7980769230769</v>
      </c>
      <c r="D48" s="20" t="str">
        <f aca="false">IF(OR('Forecast 2027'!$F47="GADAL",'Forecast 2027'!$G47="GADAL"),'Forecast 2027'!$D47,"")</f>
        <v/>
      </c>
      <c r="E48" s="20" t="str">
        <f aca="false">IF(OR('Forecast 2027'!$F47="GAGAI",'Forecast 2027'!$G47="GAGAI"),'Forecast 2027'!$D47,"")</f>
        <v/>
      </c>
      <c r="F48" s="20" t="str">
        <f aca="false">IF(OR('Forecast 2027'!$F47="GAGWI",'Forecast 2027'!$G47="GAGWI"),'Forecast 2027'!$D47,"")</f>
        <v/>
      </c>
      <c r="G48" s="20" t="n">
        <f aca="false">IF(OR('Forecast 2027'!$F47="GAALB",'Forecast 2027'!$G47="GAALB"),'Forecast 2027'!$D47,"")</f>
        <v>28.7980769230769</v>
      </c>
      <c r="H48" s="20" t="n">
        <f aca="false">IF(OR('Forecast 2027'!$F47="GADOU",'Forecast 2027'!$G47="GADOU"),'Forecast 2027'!$D47,"")</f>
        <v>28.7980769230769</v>
      </c>
    </row>
    <row r="49" customFormat="false" ht="15" hidden="false" customHeight="false" outlineLevel="0" collapsed="false">
      <c r="A49" s="19" t="n">
        <f aca="false">'Forecast 2027'!A48</f>
        <v>8577</v>
      </c>
      <c r="B49" s="19" t="n">
        <f aca="false">'Forecast 2027'!E48</f>
        <v>47</v>
      </c>
      <c r="C49" s="20" t="n">
        <f aca="false">'Forecast 2027'!D48</f>
        <v>28.5889110889111</v>
      </c>
      <c r="D49" s="20" t="str">
        <f aca="false">IF(OR('Forecast 2027'!$F48="GADAL",'Forecast 2027'!$G48="GADAL"),'Forecast 2027'!$D48,"")</f>
        <v/>
      </c>
      <c r="E49" s="20" t="n">
        <f aca="false">IF(OR('Forecast 2027'!$F48="GAGAI",'Forecast 2027'!$G48="GAGAI"),'Forecast 2027'!$D48,"")</f>
        <v>28.5889110889111</v>
      </c>
      <c r="F49" s="20" t="n">
        <f aca="false">IF(OR('Forecast 2027'!$F48="GAGWI",'Forecast 2027'!$G48="GAGWI"),'Forecast 2027'!$D48,"")</f>
        <v>28.5889110889111</v>
      </c>
      <c r="G49" s="20" t="str">
        <f aca="false">IF(OR('Forecast 2027'!$F48="GAALB",'Forecast 2027'!$G48="GAALB"),'Forecast 2027'!$D48,"")</f>
        <v/>
      </c>
      <c r="H49" s="20" t="str">
        <f aca="false">IF(OR('Forecast 2027'!$F48="GADOU",'Forecast 2027'!$G48="GADOU"),'Forecast 2027'!$D48,"")</f>
        <v/>
      </c>
    </row>
    <row r="50" customFormat="false" ht="15" hidden="false" customHeight="false" outlineLevel="0" collapsed="false">
      <c r="A50" s="19" t="n">
        <f aca="false">'Forecast 2027'!A49</f>
        <v>8865</v>
      </c>
      <c r="B50" s="19" t="n">
        <f aca="false">'Forecast 2027'!E49</f>
        <v>48</v>
      </c>
      <c r="C50" s="20" t="n">
        <f aca="false">'Forecast 2027'!D49</f>
        <v>25.7211538461538</v>
      </c>
      <c r="D50" s="20" t="str">
        <f aca="false">IF(OR('Forecast 2027'!$F49="GADAL",'Forecast 2027'!$G49="GADAL"),'Forecast 2027'!$D49,"")</f>
        <v/>
      </c>
      <c r="E50" s="20" t="n">
        <f aca="false">IF(OR('Forecast 2027'!$F49="GAGAI",'Forecast 2027'!$G49="GAGAI"),'Forecast 2027'!$D49,"")</f>
        <v>25.7211538461538</v>
      </c>
      <c r="F50" s="20" t="n">
        <f aca="false">IF(OR('Forecast 2027'!$F49="GAGWI",'Forecast 2027'!$G49="GAGWI"),'Forecast 2027'!$D49,"")</f>
        <v>25.7211538461538</v>
      </c>
      <c r="G50" s="20" t="str">
        <f aca="false">IF(OR('Forecast 2027'!$F49="GAALB",'Forecast 2027'!$G49="GAALB"),'Forecast 2027'!$D49,"")</f>
        <v/>
      </c>
      <c r="H50" s="20" t="str">
        <f aca="false">IF(OR('Forecast 2027'!$F49="GADOU",'Forecast 2027'!$G49="GADOU"),'Forecast 2027'!$D49,"")</f>
        <v/>
      </c>
    </row>
    <row r="51" customFormat="false" ht="15" hidden="false" customHeight="false" outlineLevel="0" collapsed="false">
      <c r="A51" s="19" t="n">
        <f aca="false">'Forecast 2027'!A50</f>
        <v>7514</v>
      </c>
      <c r="B51" s="19" t="n">
        <f aca="false">'Forecast 2027'!E50</f>
        <v>49</v>
      </c>
      <c r="C51" s="20" t="n">
        <f aca="false">'Forecast 2027'!D50</f>
        <v>24.1254578754579</v>
      </c>
      <c r="D51" s="20" t="n">
        <f aca="false">IF(OR('Forecast 2027'!$F50="GADAL",'Forecast 2027'!$G50="GADAL"),'Forecast 2027'!$D50,"")</f>
        <v>24.1254578754579</v>
      </c>
      <c r="E51" s="20" t="str">
        <f aca="false">IF(OR('Forecast 2027'!$F50="GAGAI",'Forecast 2027'!$G50="GAGAI"),'Forecast 2027'!$D50,"")</f>
        <v/>
      </c>
      <c r="F51" s="20" t="str">
        <f aca="false">IF(OR('Forecast 2027'!$F50="GAGWI",'Forecast 2027'!$G50="GAGWI"),'Forecast 2027'!$D50,"")</f>
        <v/>
      </c>
      <c r="G51" s="20" t="n">
        <f aca="false">IF(OR('Forecast 2027'!$F50="GAALB",'Forecast 2027'!$G50="GAALB"),'Forecast 2027'!$D50,"")</f>
        <v>24.1254578754579</v>
      </c>
      <c r="H51" s="20" t="str">
        <f aca="false">IF(OR('Forecast 2027'!$F50="GADOU",'Forecast 2027'!$G50="GADOU"),'Forecast 2027'!$D50,"")</f>
        <v/>
      </c>
    </row>
    <row r="52" customFormat="false" ht="15" hidden="false" customHeight="false" outlineLevel="0" collapsed="false">
      <c r="A52" s="19" t="n">
        <f aca="false">'Forecast 2027'!A51</f>
        <v>5651</v>
      </c>
      <c r="B52" s="19" t="n">
        <f aca="false">'Forecast 2027'!E51</f>
        <v>50</v>
      </c>
      <c r="C52" s="20" t="n">
        <f aca="false">'Forecast 2027'!D51</f>
        <v>23.246336996337</v>
      </c>
      <c r="D52" s="20" t="str">
        <f aca="false">IF(OR('Forecast 2027'!$F51="GADAL",'Forecast 2027'!$G51="GADAL"),'Forecast 2027'!$D51,"")</f>
        <v/>
      </c>
      <c r="E52" s="20" t="n">
        <f aca="false">IF(OR('Forecast 2027'!$F51="GAGAI",'Forecast 2027'!$G51="GAGAI"),'Forecast 2027'!$D51,"")</f>
        <v>23.246336996337</v>
      </c>
      <c r="F52" s="20" t="n">
        <f aca="false">IF(OR('Forecast 2027'!$F51="GAGWI",'Forecast 2027'!$G51="GAGWI"),'Forecast 2027'!$D51,"")</f>
        <v>23.246336996337</v>
      </c>
      <c r="G52" s="20" t="str">
        <f aca="false">IF(OR('Forecast 2027'!$F51="GAALB",'Forecast 2027'!$G51="GAALB"),'Forecast 2027'!$D51,"")</f>
        <v/>
      </c>
      <c r="H52" s="20" t="str">
        <f aca="false">IF(OR('Forecast 2027'!$F51="GADOU",'Forecast 2027'!$G51="GADOU"),'Forecast 2027'!$D51,"")</f>
        <v/>
      </c>
    </row>
    <row r="53" customFormat="false" ht="15" hidden="false" customHeight="false" outlineLevel="0" collapsed="false">
      <c r="A53" s="19" t="n">
        <f aca="false">'Forecast 2027'!A52</f>
        <v>4701</v>
      </c>
      <c r="B53" s="19" t="n">
        <f aca="false">'Forecast 2027'!E52</f>
        <v>51</v>
      </c>
      <c r="C53" s="20" t="n">
        <f aca="false">'Forecast 2027'!D52</f>
        <v>22.481684981685</v>
      </c>
      <c r="D53" s="20" t="str">
        <f aca="false">IF(OR('Forecast 2027'!$F52="GADAL",'Forecast 2027'!$G52="GADAL"),'Forecast 2027'!$D52,"")</f>
        <v/>
      </c>
      <c r="E53" s="20" t="str">
        <f aca="false">IF(OR('Forecast 2027'!$F52="GAGAI",'Forecast 2027'!$G52="GAGAI"),'Forecast 2027'!$D52,"")</f>
        <v/>
      </c>
      <c r="F53" s="20" t="n">
        <f aca="false">IF(OR('Forecast 2027'!$F52="GAGWI",'Forecast 2027'!$G52="GAGWI"),'Forecast 2027'!$D52,"")</f>
        <v>22.481684981685</v>
      </c>
      <c r="G53" s="20" t="n">
        <f aca="false">IF(OR('Forecast 2027'!$F52="GAALB",'Forecast 2027'!$G52="GAALB"),'Forecast 2027'!$D52,"")</f>
        <v>22.481684981685</v>
      </c>
      <c r="H53" s="20" t="str">
        <f aca="false">IF(OR('Forecast 2027'!$F52="GADOU",'Forecast 2027'!$G52="GADOU"),'Forecast 2027'!$D52,"")</f>
        <v/>
      </c>
    </row>
    <row r="54" customFormat="false" ht="15" hidden="false" customHeight="false" outlineLevel="0" collapsed="false">
      <c r="A54" s="19" t="n">
        <f aca="false">'Forecast 2027'!A53</f>
        <v>4459</v>
      </c>
      <c r="B54" s="19" t="n">
        <f aca="false">'Forecast 2027'!E53</f>
        <v>52</v>
      </c>
      <c r="C54" s="20" t="n">
        <f aca="false">'Forecast 2027'!D53</f>
        <v>22.2527472527473</v>
      </c>
      <c r="D54" s="20" t="str">
        <f aca="false">IF(OR('Forecast 2027'!$F53="GADAL",'Forecast 2027'!$G53="GADAL"),'Forecast 2027'!$D53,"")</f>
        <v/>
      </c>
      <c r="E54" s="20" t="n">
        <f aca="false">IF(OR('Forecast 2027'!$F53="GAGAI",'Forecast 2027'!$G53="GAGAI"),'Forecast 2027'!$D53,"")</f>
        <v>22.2527472527473</v>
      </c>
      <c r="F54" s="20" t="str">
        <f aca="false">IF(OR('Forecast 2027'!$F53="GAGWI",'Forecast 2027'!$G53="GAGWI"),'Forecast 2027'!$D53,"")</f>
        <v/>
      </c>
      <c r="G54" s="20" t="str">
        <f aca="false">IF(OR('Forecast 2027'!$F53="GAALB",'Forecast 2027'!$G53="GAALB"),'Forecast 2027'!$D53,"")</f>
        <v/>
      </c>
      <c r="H54" s="20" t="n">
        <f aca="false">IF(OR('Forecast 2027'!$F53="GADOU",'Forecast 2027'!$G53="GADOU"),'Forecast 2027'!$D53,"")</f>
        <v>22.2527472527473</v>
      </c>
    </row>
    <row r="55" customFormat="false" ht="15" hidden="false" customHeight="false" outlineLevel="0" collapsed="false">
      <c r="A55" s="19" t="n">
        <f aca="false">'Forecast 2027'!A54</f>
        <v>5828</v>
      </c>
      <c r="B55" s="19" t="n">
        <f aca="false">'Forecast 2027'!E54</f>
        <v>53</v>
      </c>
      <c r="C55" s="20" t="n">
        <f aca="false">'Forecast 2027'!D54</f>
        <v>22.0688007644529</v>
      </c>
      <c r="D55" s="20" t="str">
        <f aca="false">IF(OR('Forecast 2027'!$F54="GADAL",'Forecast 2027'!$G54="GADAL"),'Forecast 2027'!$D54,"")</f>
        <v/>
      </c>
      <c r="E55" s="20" t="str">
        <f aca="false">IF(OR('Forecast 2027'!$F54="GAGAI",'Forecast 2027'!$G54="GAGAI"),'Forecast 2027'!$D54,"")</f>
        <v/>
      </c>
      <c r="F55" s="20" t="str">
        <f aca="false">IF(OR('Forecast 2027'!$F54="GAGWI",'Forecast 2027'!$G54="GAGWI"),'Forecast 2027'!$D54,"")</f>
        <v/>
      </c>
      <c r="G55" s="20" t="n">
        <f aca="false">IF(OR('Forecast 2027'!$F54="GAALB",'Forecast 2027'!$G54="GAALB"),'Forecast 2027'!$D54,"")</f>
        <v>22.0688007644529</v>
      </c>
      <c r="H55" s="20" t="n">
        <f aca="false">IF(OR('Forecast 2027'!$F54="GADOU",'Forecast 2027'!$G54="GADOU"),'Forecast 2027'!$D54,"")</f>
        <v>22.0688007644529</v>
      </c>
    </row>
    <row r="56" customFormat="false" ht="15" hidden="false" customHeight="false" outlineLevel="0" collapsed="false">
      <c r="A56" s="19" t="n">
        <f aca="false">'Forecast 2027'!A55</f>
        <v>9086</v>
      </c>
      <c r="B56" s="19" t="n">
        <f aca="false">'Forecast 2027'!E55</f>
        <v>54</v>
      </c>
      <c r="C56" s="20" t="n">
        <f aca="false">'Forecast 2027'!D55</f>
        <v>21.9276556776557</v>
      </c>
      <c r="D56" s="20" t="str">
        <f aca="false">IF(OR('Forecast 2027'!$F55="GADAL",'Forecast 2027'!$G55="GADAL"),'Forecast 2027'!$D55,"")</f>
        <v/>
      </c>
      <c r="E56" s="20" t="n">
        <f aca="false">IF(OR('Forecast 2027'!$F55="GAGAI",'Forecast 2027'!$G55="GAGAI"),'Forecast 2027'!$D55,"")</f>
        <v>21.9276556776557</v>
      </c>
      <c r="F56" s="20" t="str">
        <f aca="false">IF(OR('Forecast 2027'!$F55="GAGWI",'Forecast 2027'!$G55="GAGWI"),'Forecast 2027'!$D55,"")</f>
        <v/>
      </c>
      <c r="G56" s="20" t="n">
        <f aca="false">IF(OR('Forecast 2027'!$F55="GAALB",'Forecast 2027'!$G55="GAALB"),'Forecast 2027'!$D55,"")</f>
        <v>21.9276556776557</v>
      </c>
      <c r="H56" s="20" t="str">
        <f aca="false">IF(OR('Forecast 2027'!$F55="GADOU",'Forecast 2027'!$G55="GADOU"),'Forecast 2027'!$D55,"")</f>
        <v/>
      </c>
    </row>
    <row r="57" customFormat="false" ht="15" hidden="false" customHeight="false" outlineLevel="0" collapsed="false">
      <c r="A57" s="19" t="n">
        <f aca="false">'Forecast 2027'!A56</f>
        <v>10376</v>
      </c>
      <c r="B57" s="19" t="n">
        <f aca="false">'Forecast 2027'!E56</f>
        <v>55</v>
      </c>
      <c r="C57" s="20" t="n">
        <f aca="false">'Forecast 2027'!D56</f>
        <v>21.1630036630037</v>
      </c>
      <c r="D57" s="20" t="n">
        <f aca="false">IF(OR('Forecast 2027'!$F56="GADAL",'Forecast 2027'!$G56="GADAL"),'Forecast 2027'!$D56,"")</f>
        <v>21.1630036630037</v>
      </c>
      <c r="E57" s="20" t="str">
        <f aca="false">IF(OR('Forecast 2027'!$F56="GAGAI",'Forecast 2027'!$G56="GAGAI"),'Forecast 2027'!$D56,"")</f>
        <v/>
      </c>
      <c r="F57" s="20" t="str">
        <f aca="false">IF(OR('Forecast 2027'!$F56="GAGWI",'Forecast 2027'!$G56="GAGWI"),'Forecast 2027'!$D56,"")</f>
        <v/>
      </c>
      <c r="G57" s="20" t="n">
        <f aca="false">IF(OR('Forecast 2027'!$F56="GAALB",'Forecast 2027'!$G56="GAALB"),'Forecast 2027'!$D56,"")</f>
        <v>21.1630036630037</v>
      </c>
      <c r="H57" s="20" t="str">
        <f aca="false">IF(OR('Forecast 2027'!$F56="GADOU",'Forecast 2027'!$G56="GADOU"),'Forecast 2027'!$D56,"")</f>
        <v/>
      </c>
    </row>
    <row r="58" customFormat="false" ht="15" hidden="false" customHeight="false" outlineLevel="0" collapsed="false">
      <c r="A58" s="19" t="n">
        <f aca="false">'Forecast 2027'!A57</f>
        <v>7104</v>
      </c>
      <c r="B58" s="19" t="n">
        <f aca="false">'Forecast 2027'!E57</f>
        <v>56</v>
      </c>
      <c r="C58" s="20" t="n">
        <f aca="false">'Forecast 2027'!D57</f>
        <v>20.6753663003663</v>
      </c>
      <c r="D58" s="20" t="str">
        <f aca="false">IF(OR('Forecast 2027'!$F57="GADAL",'Forecast 2027'!$G57="GADAL"),'Forecast 2027'!$D57,"")</f>
        <v/>
      </c>
      <c r="E58" s="20" t="str">
        <f aca="false">IF(OR('Forecast 2027'!$F57="GAGAI",'Forecast 2027'!$G57="GAGAI"),'Forecast 2027'!$D57,"")</f>
        <v/>
      </c>
      <c r="F58" s="20" t="str">
        <f aca="false">IF(OR('Forecast 2027'!$F57="GAGWI",'Forecast 2027'!$G57="GAGWI"),'Forecast 2027'!$D57,"")</f>
        <v/>
      </c>
      <c r="G58" s="20" t="n">
        <f aca="false">IF(OR('Forecast 2027'!$F57="GAALB",'Forecast 2027'!$G57="GAALB"),'Forecast 2027'!$D57,"")</f>
        <v>20.6753663003663</v>
      </c>
      <c r="H58" s="20" t="n">
        <f aca="false">IF(OR('Forecast 2027'!$F57="GADOU",'Forecast 2027'!$G57="GADOU"),'Forecast 2027'!$D57,"")</f>
        <v>20.6753663003663</v>
      </c>
    </row>
    <row r="59" customFormat="false" ht="15" hidden="false" customHeight="false" outlineLevel="0" collapsed="false">
      <c r="A59" s="19" t="n">
        <f aca="false">'Forecast 2027'!A58</f>
        <v>5074</v>
      </c>
      <c r="B59" s="19" t="n">
        <f aca="false">'Forecast 2027'!E58</f>
        <v>57</v>
      </c>
      <c r="C59" s="20" t="n">
        <f aca="false">'Forecast 2027'!D58</f>
        <v>19.9587912087912</v>
      </c>
      <c r="D59" s="20" t="str">
        <f aca="false">IF(OR('Forecast 2027'!$F58="GADAL",'Forecast 2027'!$G58="GADAL"),'Forecast 2027'!$D58,"")</f>
        <v/>
      </c>
      <c r="E59" s="20" t="str">
        <f aca="false">IF(OR('Forecast 2027'!$F58="GAGAI",'Forecast 2027'!$G58="GAGAI"),'Forecast 2027'!$D58,"")</f>
        <v/>
      </c>
      <c r="F59" s="20" t="n">
        <f aca="false">IF(OR('Forecast 2027'!$F58="GAGWI",'Forecast 2027'!$G58="GAGWI"),'Forecast 2027'!$D58,"")</f>
        <v>19.9587912087912</v>
      </c>
      <c r="G59" s="20" t="str">
        <f aca="false">IF(OR('Forecast 2027'!$F58="GAALB",'Forecast 2027'!$G58="GAALB"),'Forecast 2027'!$D58,"")</f>
        <v/>
      </c>
      <c r="H59" s="20" t="n">
        <f aca="false">IF(OR('Forecast 2027'!$F58="GADOU",'Forecast 2027'!$G58="GADOU"),'Forecast 2027'!$D58,"")</f>
        <v>19.9587912087912</v>
      </c>
    </row>
    <row r="60" customFormat="false" ht="15" hidden="false" customHeight="false" outlineLevel="0" collapsed="false">
      <c r="A60" s="19" t="n">
        <f aca="false">'Forecast 2027'!A59</f>
        <v>3318</v>
      </c>
      <c r="B60" s="19" t="n">
        <f aca="false">'Forecast 2027'!E59</f>
        <v>58</v>
      </c>
      <c r="C60" s="20" t="n">
        <f aca="false">'Forecast 2027'!D59</f>
        <v>19.9107142857143</v>
      </c>
      <c r="D60" s="20" t="str">
        <f aca="false">IF(OR('Forecast 2027'!$F59="GADAL",'Forecast 2027'!$G59="GADAL"),'Forecast 2027'!$D59,"")</f>
        <v/>
      </c>
      <c r="E60" s="20" t="n">
        <f aca="false">IF(OR('Forecast 2027'!$F59="GAGAI",'Forecast 2027'!$G59="GAGAI"),'Forecast 2027'!$D59,"")</f>
        <v>19.9107142857143</v>
      </c>
      <c r="F60" s="20" t="n">
        <f aca="false">IF(OR('Forecast 2027'!$F59="GAGWI",'Forecast 2027'!$G59="GAGWI"),'Forecast 2027'!$D59,"")</f>
        <v>19.9107142857143</v>
      </c>
      <c r="G60" s="20" t="str">
        <f aca="false">IF(OR('Forecast 2027'!$F59="GAALB",'Forecast 2027'!$G59="GAALB"),'Forecast 2027'!$D59,"")</f>
        <v/>
      </c>
      <c r="H60" s="20" t="str">
        <f aca="false">IF(OR('Forecast 2027'!$F59="GADOU",'Forecast 2027'!$G59="GADOU"),'Forecast 2027'!$D59,"")</f>
        <v/>
      </c>
    </row>
    <row r="61" customFormat="false" ht="15" hidden="false" customHeight="false" outlineLevel="0" collapsed="false">
      <c r="A61" s="19" t="n">
        <f aca="false">'Forecast 2027'!A60</f>
        <v>5293</v>
      </c>
      <c r="B61" s="19" t="n">
        <f aca="false">'Forecast 2027'!E60</f>
        <v>59</v>
      </c>
      <c r="C61" s="20" t="n">
        <f aca="false">'Forecast 2027'!D60</f>
        <v>18.6000955566173</v>
      </c>
      <c r="D61" s="20" t="str">
        <f aca="false">IF(OR('Forecast 2027'!$F60="GADAL",'Forecast 2027'!$G60="GADAL"),'Forecast 2027'!$D60,"")</f>
        <v/>
      </c>
      <c r="E61" s="20" t="n">
        <f aca="false">IF(OR('Forecast 2027'!$F60="GAGAI",'Forecast 2027'!$G60="GAGAI"),'Forecast 2027'!$D60,"")</f>
        <v>18.6000955566173</v>
      </c>
      <c r="F61" s="20" t="n">
        <f aca="false">IF(OR('Forecast 2027'!$F60="GAGWI",'Forecast 2027'!$G60="GAGWI"),'Forecast 2027'!$D60,"")</f>
        <v>18.6000955566173</v>
      </c>
      <c r="G61" s="20" t="str">
        <f aca="false">IF(OR('Forecast 2027'!$F60="GAALB",'Forecast 2027'!$G60="GAALB"),'Forecast 2027'!$D60,"")</f>
        <v/>
      </c>
      <c r="H61" s="20" t="str">
        <f aca="false">IF(OR('Forecast 2027'!$F60="GADOU",'Forecast 2027'!$G60="GADOU"),'Forecast 2027'!$D60,"")</f>
        <v/>
      </c>
    </row>
    <row r="62" customFormat="false" ht="15" hidden="false" customHeight="false" outlineLevel="0" collapsed="false">
      <c r="A62" s="19" t="n">
        <f aca="false">'Forecast 2027'!A61</f>
        <v>7676</v>
      </c>
      <c r="B62" s="19" t="n">
        <f aca="false">'Forecast 2027'!E61</f>
        <v>60</v>
      </c>
      <c r="C62" s="20" t="n">
        <f aca="false">'Forecast 2027'!D61</f>
        <v>17.827380952381</v>
      </c>
      <c r="D62" s="20" t="n">
        <f aca="false">IF(OR('Forecast 2027'!$F61="GADAL",'Forecast 2027'!$G61="GADAL"),'Forecast 2027'!$D61,"")</f>
        <v>17.827380952381</v>
      </c>
      <c r="E62" s="20" t="str">
        <f aca="false">IF(OR('Forecast 2027'!$F61="GAGAI",'Forecast 2027'!$G61="GAGAI"),'Forecast 2027'!$D61,"")</f>
        <v/>
      </c>
      <c r="F62" s="20" t="str">
        <f aca="false">IF(OR('Forecast 2027'!$F61="GAGWI",'Forecast 2027'!$G61="GAGWI"),'Forecast 2027'!$D61,"")</f>
        <v/>
      </c>
      <c r="G62" s="20" t="str">
        <f aca="false">IF(OR('Forecast 2027'!$F61="GAALB",'Forecast 2027'!$G61="GAALB"),'Forecast 2027'!$D61,"")</f>
        <v/>
      </c>
      <c r="H62" s="20" t="n">
        <f aca="false">IF(OR('Forecast 2027'!$F61="GADOU",'Forecast 2027'!$G61="GADOU"),'Forecast 2027'!$D61,"")</f>
        <v>17.827380952381</v>
      </c>
    </row>
    <row r="63" customFormat="false" ht="15" hidden="false" customHeight="false" outlineLevel="0" collapsed="false">
      <c r="A63" s="19" t="n">
        <f aca="false">'Forecast 2027'!A62</f>
        <v>8100</v>
      </c>
      <c r="B63" s="19" t="n">
        <f aca="false">'Forecast 2027'!E62</f>
        <v>61</v>
      </c>
      <c r="C63" s="20" t="n">
        <f aca="false">'Forecast 2027'!D62</f>
        <v>17.4358974358974</v>
      </c>
      <c r="D63" s="20" t="str">
        <f aca="false">IF(OR('Forecast 2027'!$F62="GADAL",'Forecast 2027'!$G62="GADAL"),'Forecast 2027'!$D62,"")</f>
        <v/>
      </c>
      <c r="E63" s="20" t="str">
        <f aca="false">IF(OR('Forecast 2027'!$F62="GAGAI",'Forecast 2027'!$G62="GAGAI"),'Forecast 2027'!$D62,"")</f>
        <v/>
      </c>
      <c r="F63" s="20" t="n">
        <f aca="false">IF(OR('Forecast 2027'!$F62="GAGWI",'Forecast 2027'!$G62="GAGWI"),'Forecast 2027'!$D62,"")</f>
        <v>17.4358974358974</v>
      </c>
      <c r="G63" s="20" t="str">
        <f aca="false">IF(OR('Forecast 2027'!$F62="GAALB",'Forecast 2027'!$G62="GAALB"),'Forecast 2027'!$D62,"")</f>
        <v/>
      </c>
      <c r="H63" s="20" t="n">
        <f aca="false">IF(OR('Forecast 2027'!$F62="GADOU",'Forecast 2027'!$G62="GADOU"),'Forecast 2027'!$D62,"")</f>
        <v>17.4358974358974</v>
      </c>
    </row>
    <row r="64" customFormat="false" ht="15" hidden="false" customHeight="false" outlineLevel="0" collapsed="false">
      <c r="A64" s="19" t="n">
        <f aca="false">'Forecast 2027'!A63</f>
        <v>4468</v>
      </c>
      <c r="B64" s="19" t="n">
        <f aca="false">'Forecast 2027'!E63</f>
        <v>62</v>
      </c>
      <c r="C64" s="20" t="n">
        <f aca="false">'Forecast 2027'!D63</f>
        <v>13.7568681318681</v>
      </c>
      <c r="D64" s="20" t="str">
        <f aca="false">IF(OR('Forecast 2027'!$F63="GADAL",'Forecast 2027'!$G63="GADAL"),'Forecast 2027'!$D63,"")</f>
        <v/>
      </c>
      <c r="E64" s="20" t="str">
        <f aca="false">IF(OR('Forecast 2027'!$F63="GAGAI",'Forecast 2027'!$G63="GAGAI"),'Forecast 2027'!$D63,"")</f>
        <v/>
      </c>
      <c r="F64" s="20" t="n">
        <f aca="false">IF(OR('Forecast 2027'!$F63="GAGWI",'Forecast 2027'!$G63="GAGWI"),'Forecast 2027'!$D63,"")</f>
        <v>13.7568681318681</v>
      </c>
      <c r="G64" s="20" t="str">
        <f aca="false">IF(OR('Forecast 2027'!$F63="GAALB",'Forecast 2027'!$G63="GAALB"),'Forecast 2027'!$D63,"")</f>
        <v/>
      </c>
      <c r="H64" s="20" t="n">
        <f aca="false">IF(OR('Forecast 2027'!$F63="GADOU",'Forecast 2027'!$G63="GADOU"),'Forecast 2027'!$D63,"")</f>
        <v>13.7568681318681</v>
      </c>
    </row>
    <row r="65" customFormat="false" ht="15" hidden="false" customHeight="false" outlineLevel="0" collapsed="false">
      <c r="A65" s="19" t="n">
        <f aca="false">'Forecast 2027'!A64</f>
        <v>10338</v>
      </c>
      <c r="B65" s="19" t="n">
        <f aca="false">'Forecast 2027'!E64</f>
        <v>63</v>
      </c>
      <c r="C65" s="20" t="n">
        <f aca="false">'Forecast 2027'!D64</f>
        <v>12.8777472527473</v>
      </c>
      <c r="D65" s="20" t="str">
        <f aca="false">IF(OR('Forecast 2027'!$F64="GADAL",'Forecast 2027'!$G64="GADAL"),'Forecast 2027'!$D64,"")</f>
        <v/>
      </c>
      <c r="E65" s="20" t="str">
        <f aca="false">IF(OR('Forecast 2027'!$F64="GAGAI",'Forecast 2027'!$G64="GAGAI"),'Forecast 2027'!$D64,"")</f>
        <v/>
      </c>
      <c r="F65" s="20" t="str">
        <f aca="false">IF(OR('Forecast 2027'!$F64="GAGWI",'Forecast 2027'!$G64="GAGWI"),'Forecast 2027'!$D64,"")</f>
        <v/>
      </c>
      <c r="G65" s="20" t="n">
        <f aca="false">IF(OR('Forecast 2027'!$F64="GAALB",'Forecast 2027'!$G64="GAALB"),'Forecast 2027'!$D64,"")</f>
        <v>12.8777472527473</v>
      </c>
      <c r="H65" s="20" t="n">
        <f aca="false">IF(OR('Forecast 2027'!$F64="GADOU",'Forecast 2027'!$G64="GADOU"),'Forecast 2027'!$D64,"")</f>
        <v>12.8777472527473</v>
      </c>
    </row>
    <row r="66" customFormat="false" ht="15" hidden="false" customHeight="false" outlineLevel="0" collapsed="false">
      <c r="A66" s="19" t="n">
        <f aca="false">'Forecast 2027'!A65</f>
        <v>9057</v>
      </c>
      <c r="B66" s="19" t="n">
        <f aca="false">'Forecast 2027'!E65</f>
        <v>64</v>
      </c>
      <c r="C66" s="20" t="n">
        <f aca="false">'Forecast 2027'!D65</f>
        <v>11.6735347985348</v>
      </c>
      <c r="D66" s="20" t="str">
        <f aca="false">IF(OR('Forecast 2027'!$F65="GADAL",'Forecast 2027'!$G65="GADAL"),'Forecast 2027'!$D65,"")</f>
        <v/>
      </c>
      <c r="E66" s="20" t="str">
        <f aca="false">IF(OR('Forecast 2027'!$F65="GAGAI",'Forecast 2027'!$G65="GAGAI"),'Forecast 2027'!$D65,"")</f>
        <v/>
      </c>
      <c r="F66" s="20" t="n">
        <f aca="false">IF(OR('Forecast 2027'!$F65="GAGWI",'Forecast 2027'!$G65="GAGWI"),'Forecast 2027'!$D65,"")</f>
        <v>11.6735347985348</v>
      </c>
      <c r="G66" s="20" t="str">
        <f aca="false">IF(OR('Forecast 2027'!$F65="GAALB",'Forecast 2027'!$G65="GAALB"),'Forecast 2027'!$D65,"")</f>
        <v/>
      </c>
      <c r="H66" s="20" t="n">
        <f aca="false">IF(OR('Forecast 2027'!$F65="GADOU",'Forecast 2027'!$G65="GADOU"),'Forecast 2027'!$D65,"")</f>
        <v>11.6735347985348</v>
      </c>
    </row>
    <row r="67" customFormat="false" ht="15" hidden="false" customHeight="false" outlineLevel="0" collapsed="false">
      <c r="A67" s="19" t="n">
        <f aca="false">'Forecast 2027'!A66</f>
        <v>7538</v>
      </c>
      <c r="B67" s="19" t="n">
        <f aca="false">'Forecast 2027'!E66</f>
        <v>65</v>
      </c>
      <c r="C67" s="20" t="n">
        <f aca="false">'Forecast 2027'!D66</f>
        <v>11.1195054945055</v>
      </c>
      <c r="D67" s="20" t="str">
        <f aca="false">IF(OR('Forecast 2027'!$F66="GADAL",'Forecast 2027'!$G66="GADAL"),'Forecast 2027'!$D66,"")</f>
        <v/>
      </c>
      <c r="E67" s="20" t="str">
        <f aca="false">IF(OR('Forecast 2027'!$F66="GAGAI",'Forecast 2027'!$G66="GAGAI"),'Forecast 2027'!$D66,"")</f>
        <v/>
      </c>
      <c r="F67" s="20" t="n">
        <f aca="false">IF(OR('Forecast 2027'!$F66="GAGWI",'Forecast 2027'!$G66="GAGWI"),'Forecast 2027'!$D66,"")</f>
        <v>11.1195054945055</v>
      </c>
      <c r="G67" s="20" t="n">
        <f aca="false">IF(OR('Forecast 2027'!$F66="GAALB",'Forecast 2027'!$G66="GAALB"),'Forecast 2027'!$D66,"")</f>
        <v>11.1195054945055</v>
      </c>
      <c r="H67" s="20" t="str">
        <f aca="false">IF(OR('Forecast 2027'!$F66="GADOU",'Forecast 2027'!$G66="GADOU"),'Forecast 2027'!$D66,"")</f>
        <v/>
      </c>
    </row>
    <row r="68" customFormat="false" ht="15" hidden="false" customHeight="false" outlineLevel="0" collapsed="false">
      <c r="A68" s="19" t="n">
        <f aca="false">'Forecast 2027'!A67</f>
        <v>6712</v>
      </c>
      <c r="B68" s="19" t="n">
        <f aca="false">'Forecast 2027'!E67</f>
        <v>66</v>
      </c>
      <c r="C68" s="20" t="n">
        <f aca="false">'Forecast 2027'!D67</f>
        <v>10.8424908424908</v>
      </c>
      <c r="D68" s="20" t="n">
        <f aca="false">IF(OR('Forecast 2027'!$F67="GADAL",'Forecast 2027'!$G67="GADAL"),'Forecast 2027'!$D67,"")</f>
        <v>10.8424908424908</v>
      </c>
      <c r="E68" s="20" t="n">
        <f aca="false">IF(OR('Forecast 2027'!$F67="GAGAI",'Forecast 2027'!$G67="GAGAI"),'Forecast 2027'!$D67,"")</f>
        <v>10.8424908424908</v>
      </c>
      <c r="F68" s="20" t="str">
        <f aca="false">IF(OR('Forecast 2027'!$F67="GAGWI",'Forecast 2027'!$G67="GAGWI"),'Forecast 2027'!$D67,"")</f>
        <v/>
      </c>
      <c r="G68" s="20" t="str">
        <f aca="false">IF(OR('Forecast 2027'!$F67="GAALB",'Forecast 2027'!$G67="GAALB"),'Forecast 2027'!$D67,"")</f>
        <v/>
      </c>
      <c r="H68" s="20" t="str">
        <f aca="false">IF(OR('Forecast 2027'!$F67="GADOU",'Forecast 2027'!$G67="GADOU"),'Forecast 2027'!$D67,"")</f>
        <v/>
      </c>
    </row>
    <row r="69" customFormat="false" ht="15" hidden="false" customHeight="false" outlineLevel="0" collapsed="false">
      <c r="A69" s="19" t="n">
        <f aca="false">'Forecast 2027'!A68</f>
        <v>8761</v>
      </c>
      <c r="B69" s="19" t="n">
        <f aca="false">'Forecast 2027'!E68</f>
        <v>67</v>
      </c>
      <c r="C69" s="20" t="n">
        <f aca="false">'Forecast 2027'!D68</f>
        <v>10.2403846153846</v>
      </c>
      <c r="D69" s="20" t="n">
        <f aca="false">IF(OR('Forecast 2027'!$F68="GADAL",'Forecast 2027'!$G68="GADAL"),'Forecast 2027'!$D68,"")</f>
        <v>10.2403846153846</v>
      </c>
      <c r="E69" s="20" t="n">
        <f aca="false">IF(OR('Forecast 2027'!$F68="GAGAI",'Forecast 2027'!$G68="GAGAI"),'Forecast 2027'!$D68,"")</f>
        <v>10.2403846153846</v>
      </c>
      <c r="F69" s="20" t="str">
        <f aca="false">IF(OR('Forecast 2027'!$F68="GAGWI",'Forecast 2027'!$G68="GAGWI"),'Forecast 2027'!$D68,"")</f>
        <v/>
      </c>
      <c r="G69" s="20" t="str">
        <f aca="false">IF(OR('Forecast 2027'!$F68="GAALB",'Forecast 2027'!$G68="GAALB"),'Forecast 2027'!$D68,"")</f>
        <v/>
      </c>
      <c r="H69" s="20" t="str">
        <f aca="false">IF(OR('Forecast 2027'!$F68="GADOU",'Forecast 2027'!$G68="GADOU"),'Forecast 2027'!$D68,"")</f>
        <v/>
      </c>
    </row>
    <row r="70" customFormat="false" ht="15" hidden="false" customHeight="false" outlineLevel="0" collapsed="false">
      <c r="A70" s="19" t="n">
        <f aca="false">'Forecast 2027'!A69</f>
        <v>4240</v>
      </c>
      <c r="B70" s="19" t="n">
        <f aca="false">'Forecast 2027'!E69</f>
        <v>68</v>
      </c>
      <c r="C70" s="20" t="n">
        <f aca="false">'Forecast 2027'!D69</f>
        <v>8.75915750915751</v>
      </c>
      <c r="D70" s="20" t="str">
        <f aca="false">IF(OR('Forecast 2027'!$F69="GADAL",'Forecast 2027'!$G69="GADAL"),'Forecast 2027'!$D69,"")</f>
        <v/>
      </c>
      <c r="E70" s="20" t="str">
        <f aca="false">IF(OR('Forecast 2027'!$F69="GAGAI",'Forecast 2027'!$G69="GAGAI"),'Forecast 2027'!$D69,"")</f>
        <v/>
      </c>
      <c r="F70" s="20" t="str">
        <f aca="false">IF(OR('Forecast 2027'!$F69="GAGWI",'Forecast 2027'!$G69="GAGWI"),'Forecast 2027'!$D69,"")</f>
        <v/>
      </c>
      <c r="G70" s="20" t="n">
        <f aca="false">IF(OR('Forecast 2027'!$F69="GAALB",'Forecast 2027'!$G69="GAALB"),'Forecast 2027'!$D69,"")</f>
        <v>8.75915750915751</v>
      </c>
      <c r="H70" s="20" t="n">
        <f aca="false">IF(OR('Forecast 2027'!$F69="GADOU",'Forecast 2027'!$G69="GADOU"),'Forecast 2027'!$D69,"")</f>
        <v>8.75915750915751</v>
      </c>
    </row>
    <row r="71" customFormat="false" ht="15" hidden="false" customHeight="false" outlineLevel="0" collapsed="false">
      <c r="A71" s="19" t="n">
        <f aca="false">'Forecast 2027'!A70</f>
        <v>4730</v>
      </c>
      <c r="B71" s="19" t="n">
        <f aca="false">'Forecast 2027'!E70</f>
        <v>69</v>
      </c>
      <c r="C71" s="20" t="n">
        <f aca="false">'Forecast 2027'!D70</f>
        <v>8.51409460105112</v>
      </c>
      <c r="D71" s="20" t="str">
        <f aca="false">IF(OR('Forecast 2027'!$F70="GADAL",'Forecast 2027'!$G70="GADAL"),'Forecast 2027'!$D70,"")</f>
        <v/>
      </c>
      <c r="E71" s="20" t="str">
        <f aca="false">IF(OR('Forecast 2027'!$F70="GAGAI",'Forecast 2027'!$G70="GAGAI"),'Forecast 2027'!$D70,"")</f>
        <v/>
      </c>
      <c r="F71" s="20" t="str">
        <f aca="false">IF(OR('Forecast 2027'!$F70="GAGWI",'Forecast 2027'!$G70="GAGWI"),'Forecast 2027'!$D70,"")</f>
        <v/>
      </c>
      <c r="G71" s="20" t="n">
        <f aca="false">IF(OR('Forecast 2027'!$F70="GAALB",'Forecast 2027'!$G70="GAALB"),'Forecast 2027'!$D70,"")</f>
        <v>8.51409460105112</v>
      </c>
      <c r="H71" s="20" t="n">
        <f aca="false">IF(OR('Forecast 2027'!$F70="GADOU",'Forecast 2027'!$G70="GADOU"),'Forecast 2027'!$D70,"")</f>
        <v>8.51409460105112</v>
      </c>
    </row>
    <row r="72" customFormat="false" ht="15" hidden="false" customHeight="false" outlineLevel="0" collapsed="false">
      <c r="A72" s="19" t="n">
        <f aca="false">'Forecast 2027'!A71</f>
        <v>9582</v>
      </c>
      <c r="B72" s="19" t="n">
        <f aca="false">'Forecast 2027'!E71</f>
        <v>70</v>
      </c>
      <c r="C72" s="20" t="n">
        <f aca="false">'Forecast 2027'!D71</f>
        <v>7.32793522267206</v>
      </c>
      <c r="D72" s="20" t="str">
        <f aca="false">IF(OR('Forecast 2027'!$F71="GADAL",'Forecast 2027'!$G71="GADAL"),'Forecast 2027'!$D71,"")</f>
        <v/>
      </c>
      <c r="E72" s="20" t="n">
        <f aca="false">IF(OR('Forecast 2027'!$F71="GAGAI",'Forecast 2027'!$G71="GAGAI"),'Forecast 2027'!$D71,"")</f>
        <v>7.32793522267206</v>
      </c>
      <c r="F72" s="20" t="str">
        <f aca="false">IF(OR('Forecast 2027'!$F71="GAGWI",'Forecast 2027'!$G71="GAGWI"),'Forecast 2027'!$D71,"")</f>
        <v/>
      </c>
      <c r="G72" s="20" t="str">
        <f aca="false">IF(OR('Forecast 2027'!$F71="GAALB",'Forecast 2027'!$G71="GAALB"),'Forecast 2027'!$D71,"")</f>
        <v/>
      </c>
      <c r="H72" s="20" t="n">
        <f aca="false">IF(OR('Forecast 2027'!$F71="GADOU",'Forecast 2027'!$G71="GADOU"),'Forecast 2027'!$D71,"")</f>
        <v>7.32793522267206</v>
      </c>
    </row>
    <row r="73" customFormat="false" ht="15" hidden="false" customHeight="false" outlineLevel="0" collapsed="false">
      <c r="A73" s="19" t="n">
        <f aca="false">'Forecast 2027'!A72</f>
        <v>2415</v>
      </c>
      <c r="B73" s="19" t="n">
        <f aca="false">'Forecast 2027'!E72</f>
        <v>71</v>
      </c>
      <c r="C73" s="20" t="n">
        <f aca="false">'Forecast 2027'!D72</f>
        <v>6.90934065934066</v>
      </c>
      <c r="D73" s="20" t="str">
        <f aca="false">IF(OR('Forecast 2027'!$F72="GADAL",'Forecast 2027'!$G72="GADAL"),'Forecast 2027'!$D72,"")</f>
        <v/>
      </c>
      <c r="E73" s="20" t="n">
        <f aca="false">IF(OR('Forecast 2027'!$F72="GAGAI",'Forecast 2027'!$G72="GAGAI"),'Forecast 2027'!$D72,"")</f>
        <v>6.90934065934066</v>
      </c>
      <c r="F73" s="20" t="n">
        <f aca="false">IF(OR('Forecast 2027'!$F72="GAGWI",'Forecast 2027'!$G72="GAGWI"),'Forecast 2027'!$D72,"")</f>
        <v>6.90934065934066</v>
      </c>
      <c r="G73" s="20" t="str">
        <f aca="false">IF(OR('Forecast 2027'!$F72="GAALB",'Forecast 2027'!$G72="GAALB"),'Forecast 2027'!$D72,"")</f>
        <v/>
      </c>
      <c r="H73" s="20" t="str">
        <f aca="false">IF(OR('Forecast 2027'!$F72="GADOU",'Forecast 2027'!$G72="GADOU"),'Forecast 2027'!$D72,"")</f>
        <v/>
      </c>
    </row>
    <row r="74" customFormat="false" ht="15" hidden="false" customHeight="false" outlineLevel="0" collapsed="false">
      <c r="A74" s="19" t="n">
        <f aca="false">'Forecast 2027'!A73</f>
        <v>9770</v>
      </c>
      <c r="B74" s="19" t="n">
        <f aca="false">'Forecast 2027'!E73</f>
        <v>72</v>
      </c>
      <c r="C74" s="20" t="n">
        <f aca="false">'Forecast 2027'!D73</f>
        <v>4.20100732600733</v>
      </c>
      <c r="D74" s="20" t="n">
        <f aca="false">IF(OR('Forecast 2027'!$F73="GADAL",'Forecast 2027'!$G73="GADAL"),'Forecast 2027'!$D73,"")</f>
        <v>4.20100732600733</v>
      </c>
      <c r="E74" s="20" t="str">
        <f aca="false">IF(OR('Forecast 2027'!$F73="GAGAI",'Forecast 2027'!$G73="GAGAI"),'Forecast 2027'!$D73,"")</f>
        <v/>
      </c>
      <c r="F74" s="20" t="str">
        <f aca="false">IF(OR('Forecast 2027'!$F73="GAGWI",'Forecast 2027'!$G73="GAGWI"),'Forecast 2027'!$D73,"")</f>
        <v/>
      </c>
      <c r="G74" s="20" t="str">
        <f aca="false">IF(OR('Forecast 2027'!$F73="GAALB",'Forecast 2027'!$G73="GAALB"),'Forecast 2027'!$D73,"")</f>
        <v/>
      </c>
      <c r="H74" s="20" t="n">
        <f aca="false">IF(OR('Forecast 2027'!$F73="GADOU",'Forecast 2027'!$G73="GADOU"),'Forecast 2027'!$D73,"")</f>
        <v>4.20100732600733</v>
      </c>
    </row>
    <row r="75" customFormat="false" ht="15" hidden="false" customHeight="false" outlineLevel="0" collapsed="false">
      <c r="A75" s="19" t="n">
        <f aca="false">'Forecast 2027'!A74</f>
        <v>8849</v>
      </c>
      <c r="B75" s="19" t="n">
        <f aca="false">'Forecast 2027'!E74</f>
        <v>73</v>
      </c>
      <c r="C75" s="20" t="n">
        <f aca="false">'Forecast 2027'!D74</f>
        <v>4.10866910866911</v>
      </c>
      <c r="D75" s="20" t="n">
        <f aca="false">IF(OR('Forecast 2027'!$F74="GADAL",'Forecast 2027'!$G74="GADAL"),'Forecast 2027'!$D74,"")</f>
        <v>4.10866910866911</v>
      </c>
      <c r="E75" s="20" t="n">
        <f aca="false">IF(OR('Forecast 2027'!$F74="GAGAI",'Forecast 2027'!$G74="GAGAI"),'Forecast 2027'!$D74,"")</f>
        <v>4.10866910866911</v>
      </c>
      <c r="F75" s="20" t="str">
        <f aca="false">IF(OR('Forecast 2027'!$F74="GAGWI",'Forecast 2027'!$G74="GAGWI"),'Forecast 2027'!$D74,"")</f>
        <v/>
      </c>
      <c r="G75" s="20" t="str">
        <f aca="false">IF(OR('Forecast 2027'!$F74="GAALB",'Forecast 2027'!$G74="GAALB"),'Forecast 2027'!$D74,"")</f>
        <v/>
      </c>
      <c r="H75" s="20" t="str">
        <f aca="false">IF(OR('Forecast 2027'!$F74="GADOU",'Forecast 2027'!$G74="GADOU"),'Forecast 2027'!$D74,"")</f>
        <v/>
      </c>
    </row>
    <row r="76" customFormat="false" ht="15" hidden="false" customHeight="false" outlineLevel="0" collapsed="false">
      <c r="A76" s="19" t="n">
        <f aca="false">'Forecast 2027'!A75</f>
        <v>1795</v>
      </c>
      <c r="B76" s="19" t="n">
        <f aca="false">'Forecast 2027'!E75</f>
        <v>74</v>
      </c>
      <c r="C76" s="20" t="n">
        <f aca="false">'Forecast 2027'!D75</f>
        <v>0</v>
      </c>
      <c r="D76" s="20" t="str">
        <f aca="false">IF(OR('Forecast 2027'!$F75="GADAL",'Forecast 2027'!$G75="GADAL"),'Forecast 2027'!$D75,"")</f>
        <v/>
      </c>
      <c r="E76" s="20" t="n">
        <f aca="false">IF(OR('Forecast 2027'!$F75="GAGAI",'Forecast 2027'!$G75="GAGAI"),'Forecast 2027'!$D75,"")</f>
        <v>0</v>
      </c>
      <c r="F76" s="20" t="n">
        <f aca="false">IF(OR('Forecast 2027'!$F75="GAGWI",'Forecast 2027'!$G75="GAGWI"),'Forecast 2027'!$D75,"")</f>
        <v>0</v>
      </c>
      <c r="G76" s="20" t="str">
        <f aca="false">IF(OR('Forecast 2027'!$F75="GAALB",'Forecast 2027'!$G75="GAALB"),'Forecast 2027'!$D75,"")</f>
        <v/>
      </c>
      <c r="H76" s="20" t="str">
        <f aca="false">IF(OR('Forecast 2027'!$F75="GADOU",'Forecast 2027'!$G75="GADOU"),'Forecast 2027'!$D75,"")</f>
        <v/>
      </c>
    </row>
  </sheetData>
  <conditionalFormatting sqref="D3:H76">
    <cfRule type="cellIs" priority="2" operator="greaterThanOrEqual" aboveAverage="0" equalAverage="0" bottom="0" percent="0" rank="0" text="" dxfId="7">
      <formula>70</formula>
    </cfRule>
    <cfRule type="cellIs" priority="3" operator="between" aboveAverage="0" equalAverage="0" bottom="0" percent="0" rank="0" text="" dxfId="8">
      <formula>45</formula>
      <formula>69.999</formula>
    </cfRule>
    <cfRule type="cellIs" priority="4" operator="between" aboveAverage="0" equalAverage="0" bottom="0" percent="0" rank="0" text="" dxfId="9">
      <formula>0</formula>
      <formula>44.999</formula>
    </cfRule>
  </conditionalFormatting>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V77"/>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3" ySplit="1" topLeftCell="D2" activePane="bottomRight" state="frozen"/>
      <selection pane="topLeft" activeCell="A1" activeCellId="0" sqref="A1"/>
      <selection pane="topRight" activeCell="D1" activeCellId="0" sqref="D1"/>
      <selection pane="bottomLeft" activeCell="A2" activeCellId="0" sqref="A2"/>
      <selection pane="bottomRight" activeCell="A1" activeCellId="0" sqref="A1"/>
    </sheetView>
  </sheetViews>
  <sheetFormatPr defaultColWidth="8.6796875" defaultRowHeight="15" zeroHeight="false" outlineLevelRow="0" outlineLevelCol="0"/>
  <cols>
    <col collapsed="false" customWidth="true" hidden="false" outlineLevel="0" max="1" min="1" style="0" width="8"/>
    <col collapsed="false" customWidth="true" hidden="false" outlineLevel="0" max="2" min="2" style="0" width="30"/>
    <col collapsed="false" customWidth="true" hidden="false" outlineLevel="0" max="3" min="3" style="0" width="14"/>
    <col collapsed="false" customWidth="true" hidden="false" outlineLevel="0" max="5" min="4" style="0" width="9"/>
    <col collapsed="false" customWidth="true" hidden="false" outlineLevel="0" max="6" min="6" style="0" width="8"/>
    <col collapsed="false" customWidth="true" hidden="false" outlineLevel="0" max="7" min="7" style="0" width="7"/>
    <col collapsed="false" customWidth="true" hidden="false" outlineLevel="0" max="8" min="8" style="0" width="8"/>
    <col collapsed="false" customWidth="true" hidden="false" outlineLevel="0" max="14" min="9" style="0" width="7"/>
    <col collapsed="false" customWidth="true" hidden="false" outlineLevel="0" max="15" min="15" style="0" width="8"/>
    <col collapsed="false" customWidth="true" hidden="false" outlineLevel="0" max="16" min="16" style="0" width="9"/>
    <col collapsed="false" customWidth="true" hidden="false" outlineLevel="0" max="17" min="17" style="0" width="11"/>
    <col collapsed="false" customWidth="true" hidden="false" outlineLevel="0" max="20" min="18" style="0" width="8"/>
    <col collapsed="false" customWidth="true" hidden="false" outlineLevel="0" max="21" min="21" style="0" width="10"/>
    <col collapsed="false" customWidth="true" hidden="false" outlineLevel="0" max="22" min="22" style="0" width="9"/>
  </cols>
  <sheetData>
    <row r="1" customFormat="false" ht="39.55" hidden="false" customHeight="false" outlineLevel="0" collapsed="false">
      <c r="A1" s="7" t="s">
        <v>185</v>
      </c>
      <c r="B1" s="7" t="s">
        <v>90</v>
      </c>
      <c r="C1" s="7" t="s">
        <v>99</v>
      </c>
      <c r="D1" s="7" t="s">
        <v>288</v>
      </c>
      <c r="E1" s="7" t="s">
        <v>289</v>
      </c>
      <c r="F1" s="7" t="s">
        <v>113</v>
      </c>
      <c r="G1" s="7" t="s">
        <v>290</v>
      </c>
      <c r="H1" s="7" t="s">
        <v>114</v>
      </c>
      <c r="I1" s="7" t="s">
        <v>291</v>
      </c>
      <c r="J1" s="7" t="s">
        <v>292</v>
      </c>
      <c r="K1" s="7" t="s">
        <v>293</v>
      </c>
      <c r="L1" s="7" t="s">
        <v>294</v>
      </c>
      <c r="M1" s="7" t="s">
        <v>295</v>
      </c>
      <c r="N1" s="7" t="s">
        <v>296</v>
      </c>
      <c r="O1" s="7" t="s">
        <v>297</v>
      </c>
      <c r="P1" s="7" t="s">
        <v>298</v>
      </c>
      <c r="Q1" s="7" t="s">
        <v>299</v>
      </c>
      <c r="R1" s="7" t="s">
        <v>300</v>
      </c>
      <c r="S1" s="7" t="s">
        <v>301</v>
      </c>
      <c r="T1" s="7" t="s">
        <v>302</v>
      </c>
      <c r="U1" s="7" t="s">
        <v>303</v>
      </c>
      <c r="V1" s="7" t="s">
        <v>187</v>
      </c>
    </row>
    <row r="2" customFormat="false" ht="15" hidden="false" customHeight="false" outlineLevel="0" collapsed="false">
      <c r="A2" s="19" t="n">
        <v>1833</v>
      </c>
      <c r="B2" s="19" t="s">
        <v>304</v>
      </c>
      <c r="C2" s="19" t="s">
        <v>305</v>
      </c>
      <c r="D2" s="19" t="n">
        <v>1</v>
      </c>
      <c r="E2" s="19" t="n">
        <v>365</v>
      </c>
      <c r="F2" s="19" t="s">
        <v>108</v>
      </c>
      <c r="G2" s="19" t="n">
        <v>76</v>
      </c>
      <c r="H2" s="19" t="s">
        <v>107</v>
      </c>
      <c r="I2" s="19" t="n">
        <v>73</v>
      </c>
      <c r="J2" s="19" t="n">
        <v>0</v>
      </c>
      <c r="K2" s="19" t="n">
        <v>216</v>
      </c>
      <c r="L2" s="19" t="n">
        <f aca="false">SUMIF('Results 2026'!$B$2:$B$149,A2,'Results 2026'!$C$2:$C$149)</f>
        <v>24</v>
      </c>
      <c r="M2" s="19" t="n">
        <f aca="false">SUMIF('Results 2026'!$B$2:$B$149,A2,'Results 2026'!$D$2:$D$149)</f>
        <v>0</v>
      </c>
      <c r="N2" s="19" t="n">
        <f aca="false">SUMIF('Results 2026'!$B$2:$B$149,A2,'Results 2026'!$E$2:$E$149)</f>
        <v>0</v>
      </c>
      <c r="O2" s="29" t="n">
        <f aca="false">IF(ISERROR((L2+0.5*N2)/(L2+M2+N2)),0,(L2+0.5*N2)/(L2+M2+N2))</f>
        <v>1</v>
      </c>
      <c r="P2" s="20" t="n">
        <f aca="false">(G2+I2)/2</f>
        <v>74.5</v>
      </c>
      <c r="Q2" s="30"/>
      <c r="R2" s="20" t="n">
        <f aca="false">100*(P2-MIN($P$2:$P$75))/(MAX($P$2:$P$75)-MIN($P$2:$P$75))</f>
        <v>100</v>
      </c>
      <c r="S2" s="20" t="n">
        <f aca="false">100*(O2-MIN($O$2:$O$75))/(MAX($O$2:$O$75)-MIN($O$2:$O$75))</f>
        <v>100</v>
      </c>
      <c r="T2" s="20" t="str">
        <f aca="false">IF(OR(Q2="",COUNT($Q$2:$Q$75)&lt;2),"",100*(Q2-MIN($Q$2:$Q$75))/(MAX($Q$2:$Q$75)-MIN($Q$2:$Q$75)))</f>
        <v/>
      </c>
      <c r="U2" s="20" t="n">
        <f aca="false">(Assumptions!$B$4*R2+Assumptions!$B$5*S2+IF(T2="",0,Assumptions!$B$6*T2))/(Assumptions!$B$4+Assumptions!$B$5+IF(T2="",0,Assumptions!$B$6))</f>
        <v>100</v>
      </c>
      <c r="V2" s="19" t="n">
        <f aca="false">RANK(U2,$U$2:$U$75)+COUNTIF($U$2:U2,U2)-1</f>
        <v>1</v>
      </c>
    </row>
    <row r="3" customFormat="false" ht="15" hidden="false" customHeight="false" outlineLevel="0" collapsed="false">
      <c r="A3" s="19" t="n">
        <v>1771</v>
      </c>
      <c r="B3" s="19" t="s">
        <v>306</v>
      </c>
      <c r="C3" s="19" t="s">
        <v>307</v>
      </c>
      <c r="D3" s="19" t="n">
        <v>2</v>
      </c>
      <c r="E3" s="19" t="n">
        <v>336</v>
      </c>
      <c r="F3" s="19" t="s">
        <v>108</v>
      </c>
      <c r="G3" s="19" t="n">
        <v>72</v>
      </c>
      <c r="H3" s="19" t="s">
        <v>110</v>
      </c>
      <c r="I3" s="19" t="n">
        <v>60</v>
      </c>
      <c r="J3" s="19" t="n">
        <v>0</v>
      </c>
      <c r="K3" s="19" t="n">
        <v>204</v>
      </c>
      <c r="L3" s="19" t="n">
        <f aca="false">SUMIF('Results 2026'!$B$2:$B$149,A3,'Results 2026'!$C$2:$C$149)</f>
        <v>20</v>
      </c>
      <c r="M3" s="19" t="n">
        <f aca="false">SUMIF('Results 2026'!$B$2:$B$149,A3,'Results 2026'!$D$2:$D$149)</f>
        <v>4</v>
      </c>
      <c r="N3" s="19" t="n">
        <f aca="false">SUMIF('Results 2026'!$B$2:$B$149,A3,'Results 2026'!$E$2:$E$149)</f>
        <v>0</v>
      </c>
      <c r="O3" s="29" t="n">
        <f aca="false">IF(ISERROR((L3+0.5*N3)/(L3+M3+N3)),0,(L3+0.5*N3)/(L3+M3+N3))</f>
        <v>0.833333333333333</v>
      </c>
      <c r="P3" s="20" t="n">
        <f aca="false">(G3+I3)/2</f>
        <v>66</v>
      </c>
      <c r="Q3" s="30"/>
      <c r="R3" s="20" t="n">
        <f aca="false">100*(P3-MIN($P$2:$P$75))/(MAX($P$2:$P$75)-MIN($P$2:$P$75))</f>
        <v>87.8571428571429</v>
      </c>
      <c r="S3" s="20" t="n">
        <f aca="false">100*(O3-MIN($O$2:$O$75))/(MAX($O$2:$O$75)-MIN($O$2:$O$75))</f>
        <v>78.3333333333333</v>
      </c>
      <c r="T3" s="20" t="str">
        <f aca="false">IF(OR(Q3="",COUNT($Q$2:$Q$75)&lt;2),"",100*(Q3-MIN($Q$2:$Q$75))/(MAX($Q$2:$Q$75)-MIN($Q$2:$Q$75)))</f>
        <v/>
      </c>
      <c r="U3" s="20" t="n">
        <f aca="false">(Assumptions!$B$4*R3+Assumptions!$B$5*S3+IF(T3="",0,Assumptions!$B$6*T3))/(Assumptions!$B$4+Assumptions!$B$5+IF(T3="",0,Assumptions!$B$6))</f>
        <v>84.1941391941392</v>
      </c>
      <c r="V3" s="19" t="n">
        <f aca="false">RANK(U3,$U$2:$U$75)+COUNTIF($U$2:U3,U3)-1</f>
        <v>5</v>
      </c>
    </row>
    <row r="4" customFormat="false" ht="15" hidden="false" customHeight="false" outlineLevel="0" collapsed="false">
      <c r="A4" s="19" t="n">
        <v>6919</v>
      </c>
      <c r="B4" s="19" t="s">
        <v>308</v>
      </c>
      <c r="C4" s="19" t="s">
        <v>67</v>
      </c>
      <c r="D4" s="19" t="n">
        <v>3</v>
      </c>
      <c r="E4" s="19" t="n">
        <v>324</v>
      </c>
      <c r="F4" s="19" t="s">
        <v>106</v>
      </c>
      <c r="G4" s="19" t="n">
        <v>73</v>
      </c>
      <c r="H4" s="19" t="s">
        <v>110</v>
      </c>
      <c r="I4" s="19" t="n">
        <v>74</v>
      </c>
      <c r="J4" s="19" t="n">
        <v>0</v>
      </c>
      <c r="K4" s="19" t="n">
        <v>177</v>
      </c>
      <c r="L4" s="19" t="n">
        <f aca="false">SUMIF('Results 2026'!$B$2:$B$149,A4,'Results 2026'!$C$2:$C$149)</f>
        <v>18</v>
      </c>
      <c r="M4" s="19" t="n">
        <f aca="false">SUMIF('Results 2026'!$B$2:$B$149,A4,'Results 2026'!$D$2:$D$149)</f>
        <v>6</v>
      </c>
      <c r="N4" s="19" t="n">
        <f aca="false">SUMIF('Results 2026'!$B$2:$B$149,A4,'Results 2026'!$E$2:$E$149)</f>
        <v>0</v>
      </c>
      <c r="O4" s="29" t="n">
        <f aca="false">IF(ISERROR((L4+0.5*N4)/(L4+M4+N4)),0,(L4+0.5*N4)/(L4+M4+N4))</f>
        <v>0.75</v>
      </c>
      <c r="P4" s="20" t="n">
        <f aca="false">(G4+I4)/2</f>
        <v>73.5</v>
      </c>
      <c r="Q4" s="30"/>
      <c r="R4" s="20" t="n">
        <f aca="false">100*(P4-MIN($P$2:$P$75))/(MAX($P$2:$P$75)-MIN($P$2:$P$75))</f>
        <v>98.5714285714286</v>
      </c>
      <c r="S4" s="20" t="n">
        <f aca="false">100*(O4-MIN($O$2:$O$75))/(MAX($O$2:$O$75)-MIN($O$2:$O$75))</f>
        <v>67.5</v>
      </c>
      <c r="T4" s="20" t="str">
        <f aca="false">IF(OR(Q4="",COUNT($Q$2:$Q$75)&lt;2),"",100*(Q4-MIN($Q$2:$Q$75))/(MAX($Q$2:$Q$75)-MIN($Q$2:$Q$75)))</f>
        <v/>
      </c>
      <c r="U4" s="20" t="n">
        <f aca="false">(Assumptions!$B$4*R4+Assumptions!$B$5*S4+IF(T4="",0,Assumptions!$B$6*T4))/(Assumptions!$B$4+Assumptions!$B$5+IF(T4="",0,Assumptions!$B$6))</f>
        <v>86.6208791208791</v>
      </c>
      <c r="V4" s="19" t="n">
        <f aca="false">RANK(U4,$U$2:$U$75)+COUNTIF($U$2:U4,U4)-1</f>
        <v>4</v>
      </c>
    </row>
    <row r="5" customFormat="false" ht="15" hidden="false" customHeight="false" outlineLevel="0" collapsed="false">
      <c r="A5" s="19" t="n">
        <v>1002</v>
      </c>
      <c r="B5" s="19" t="s">
        <v>309</v>
      </c>
      <c r="C5" s="19" t="s">
        <v>310</v>
      </c>
      <c r="D5" s="19" t="n">
        <v>4</v>
      </c>
      <c r="E5" s="19" t="n">
        <v>323</v>
      </c>
      <c r="F5" s="19" t="s">
        <v>106</v>
      </c>
      <c r="G5" s="19" t="n">
        <v>72</v>
      </c>
      <c r="H5" s="19" t="s">
        <v>110</v>
      </c>
      <c r="I5" s="19" t="n">
        <v>71</v>
      </c>
      <c r="J5" s="19" t="n">
        <v>0</v>
      </c>
      <c r="K5" s="19" t="n">
        <v>180</v>
      </c>
      <c r="L5" s="19" t="n">
        <f aca="false">SUMIF('Results 2026'!$B$2:$B$149,A5,'Results 2026'!$C$2:$C$149)</f>
        <v>21</v>
      </c>
      <c r="M5" s="19" t="n">
        <f aca="false">SUMIF('Results 2026'!$B$2:$B$149,A5,'Results 2026'!$D$2:$D$149)</f>
        <v>2</v>
      </c>
      <c r="N5" s="19" t="n">
        <f aca="false">SUMIF('Results 2026'!$B$2:$B$149,A5,'Results 2026'!$E$2:$E$149)</f>
        <v>0</v>
      </c>
      <c r="O5" s="29" t="n">
        <f aca="false">IF(ISERROR((L5+0.5*N5)/(L5+M5+N5)),0,(L5+0.5*N5)/(L5+M5+N5))</f>
        <v>0.91304347826087</v>
      </c>
      <c r="P5" s="20" t="n">
        <f aca="false">(G5+I5)/2</f>
        <v>71.5</v>
      </c>
      <c r="Q5" s="30"/>
      <c r="R5" s="20" t="n">
        <f aca="false">100*(P5-MIN($P$2:$P$75))/(MAX($P$2:$P$75)-MIN($P$2:$P$75))</f>
        <v>95.7142857142857</v>
      </c>
      <c r="S5" s="20" t="n">
        <f aca="false">100*(O5-MIN($O$2:$O$75))/(MAX($O$2:$O$75)-MIN($O$2:$O$75))</f>
        <v>88.6956521739131</v>
      </c>
      <c r="T5" s="20" t="str">
        <f aca="false">IF(OR(Q5="",COUNT($Q$2:$Q$75)&lt;2),"",100*(Q5-MIN($Q$2:$Q$75))/(MAX($Q$2:$Q$75)-MIN($Q$2:$Q$75)))</f>
        <v/>
      </c>
      <c r="U5" s="20" t="n">
        <f aca="false">(Assumptions!$B$4*R5+Assumptions!$B$5*S5+IF(T5="",0,Assumptions!$B$6*T5))/(Assumptions!$B$4+Assumptions!$B$5+IF(T5="",0,Assumptions!$B$6))</f>
        <v>93.0148112756808</v>
      </c>
      <c r="V5" s="19" t="n">
        <f aca="false">RANK(U5,$U$2:$U$75)+COUNTIF($U$2:U5,U5)-1</f>
        <v>3</v>
      </c>
    </row>
    <row r="6" customFormat="false" ht="15" hidden="false" customHeight="false" outlineLevel="0" collapsed="false">
      <c r="A6" s="19" t="n">
        <v>4188</v>
      </c>
      <c r="B6" s="19" t="s">
        <v>311</v>
      </c>
      <c r="C6" s="19" t="s">
        <v>180</v>
      </c>
      <c r="D6" s="19" t="n">
        <v>5</v>
      </c>
      <c r="E6" s="19" t="n">
        <v>305</v>
      </c>
      <c r="F6" s="19" t="s">
        <v>179</v>
      </c>
      <c r="G6" s="19" t="n">
        <v>77</v>
      </c>
      <c r="H6" s="19" t="s">
        <v>110</v>
      </c>
      <c r="I6" s="19" t="n">
        <v>66</v>
      </c>
      <c r="J6" s="19" t="n">
        <v>0</v>
      </c>
      <c r="K6" s="19" t="n">
        <v>162</v>
      </c>
      <c r="L6" s="19" t="n">
        <f aca="false">SUMIF('Results 2026'!$B$2:$B$149,A6,'Results 2026'!$C$2:$C$149)</f>
        <v>22</v>
      </c>
      <c r="M6" s="19" t="n">
        <f aca="false">SUMIF('Results 2026'!$B$2:$B$149,A6,'Results 2026'!$D$2:$D$149)</f>
        <v>2</v>
      </c>
      <c r="N6" s="19" t="n">
        <f aca="false">SUMIF('Results 2026'!$B$2:$B$149,A6,'Results 2026'!$E$2:$E$149)</f>
        <v>0</v>
      </c>
      <c r="O6" s="29" t="n">
        <f aca="false">IF(ISERROR((L6+0.5*N6)/(L6+M6+N6)),0,(L6+0.5*N6)/(L6+M6+N6))</f>
        <v>0.916666666666667</v>
      </c>
      <c r="P6" s="20" t="n">
        <f aca="false">(G6+I6)/2</f>
        <v>71.5</v>
      </c>
      <c r="Q6" s="30"/>
      <c r="R6" s="20" t="n">
        <f aca="false">100*(P6-MIN($P$2:$P$75))/(MAX($P$2:$P$75)-MIN($P$2:$P$75))</f>
        <v>95.7142857142857</v>
      </c>
      <c r="S6" s="20" t="n">
        <f aca="false">100*(O6-MIN($O$2:$O$75))/(MAX($O$2:$O$75)-MIN($O$2:$O$75))</f>
        <v>89.1666666666667</v>
      </c>
      <c r="T6" s="20" t="str">
        <f aca="false">IF(OR(Q6="",COUNT($Q$2:$Q$75)&lt;2),"",100*(Q6-MIN($Q$2:$Q$75))/(MAX($Q$2:$Q$75)-MIN($Q$2:$Q$75)))</f>
        <v/>
      </c>
      <c r="U6" s="20" t="n">
        <f aca="false">(Assumptions!$B$4*R6+Assumptions!$B$5*S6+IF(T6="",0,Assumptions!$B$6*T6))/(Assumptions!$B$4+Assumptions!$B$5+IF(T6="",0,Assumptions!$B$6))</f>
        <v>93.1959706959707</v>
      </c>
      <c r="V6" s="19" t="n">
        <f aca="false">RANK(U6,$U$2:$U$75)+COUNTIF($U$2:U6,U6)-1</f>
        <v>2</v>
      </c>
    </row>
    <row r="7" customFormat="false" ht="15" hidden="false" customHeight="false" outlineLevel="0" collapsed="false">
      <c r="A7" s="19" t="n">
        <v>2974</v>
      </c>
      <c r="B7" s="19" t="s">
        <v>312</v>
      </c>
      <c r="C7" s="19" t="s">
        <v>310</v>
      </c>
      <c r="D7" s="19" t="n">
        <v>6</v>
      </c>
      <c r="E7" s="19" t="n">
        <v>274</v>
      </c>
      <c r="F7" s="19" t="s">
        <v>106</v>
      </c>
      <c r="G7" s="19" t="n">
        <v>60</v>
      </c>
      <c r="H7" s="19" t="s">
        <v>179</v>
      </c>
      <c r="I7" s="19" t="n">
        <v>73</v>
      </c>
      <c r="J7" s="19" t="n">
        <v>0</v>
      </c>
      <c r="K7" s="19" t="n">
        <v>141</v>
      </c>
      <c r="L7" s="19" t="n">
        <f aca="false">SUMIF('Results 2026'!$B$2:$B$149,A7,'Results 2026'!$C$2:$C$149)</f>
        <v>18</v>
      </c>
      <c r="M7" s="19" t="n">
        <f aca="false">SUMIF('Results 2026'!$B$2:$B$149,A7,'Results 2026'!$D$2:$D$149)</f>
        <v>5</v>
      </c>
      <c r="N7" s="19" t="n">
        <f aca="false">SUMIF('Results 2026'!$B$2:$B$149,A7,'Results 2026'!$E$2:$E$149)</f>
        <v>0</v>
      </c>
      <c r="O7" s="29" t="n">
        <f aca="false">IF(ISERROR((L7+0.5*N7)/(L7+M7+N7)),0,(L7+0.5*N7)/(L7+M7+N7))</f>
        <v>0.782608695652174</v>
      </c>
      <c r="P7" s="20" t="n">
        <f aca="false">(G7+I7)/2</f>
        <v>66.5</v>
      </c>
      <c r="Q7" s="30"/>
      <c r="R7" s="20" t="n">
        <f aca="false">100*(P7-MIN($P$2:$P$75))/(MAX($P$2:$P$75)-MIN($P$2:$P$75))</f>
        <v>88.5714285714286</v>
      </c>
      <c r="S7" s="20" t="n">
        <f aca="false">100*(O7-MIN($O$2:$O$75))/(MAX($O$2:$O$75)-MIN($O$2:$O$75))</f>
        <v>71.7391304347826</v>
      </c>
      <c r="T7" s="20" t="str">
        <f aca="false">IF(OR(Q7="",COUNT($Q$2:$Q$75)&lt;2),"",100*(Q7-MIN($Q$2:$Q$75))/(MAX($Q$2:$Q$75)-MIN($Q$2:$Q$75)))</f>
        <v/>
      </c>
      <c r="U7" s="20" t="n">
        <f aca="false">(Assumptions!$B$4*R7+Assumptions!$B$5*S7+IF(T7="",0,Assumptions!$B$6*T7))/(Assumptions!$B$4+Assumptions!$B$5+IF(T7="",0,Assumptions!$B$6))</f>
        <v>82.0974677496417</v>
      </c>
      <c r="V7" s="19" t="n">
        <f aca="false">RANK(U7,$U$2:$U$75)+COUNTIF($U$2:U7,U7)-1</f>
        <v>6</v>
      </c>
    </row>
    <row r="8" customFormat="false" ht="15" hidden="false" customHeight="false" outlineLevel="0" collapsed="false">
      <c r="A8" s="19" t="n">
        <v>4189</v>
      </c>
      <c r="B8" s="19" t="s">
        <v>313</v>
      </c>
      <c r="C8" s="19" t="s">
        <v>314</v>
      </c>
      <c r="D8" s="19" t="n">
        <v>7</v>
      </c>
      <c r="E8" s="19" t="n">
        <v>227</v>
      </c>
      <c r="F8" s="19" t="s">
        <v>108</v>
      </c>
      <c r="G8" s="19" t="n">
        <v>50</v>
      </c>
      <c r="H8" s="19" t="s">
        <v>107</v>
      </c>
      <c r="I8" s="19" t="n">
        <v>54</v>
      </c>
      <c r="J8" s="19" t="n">
        <v>0</v>
      </c>
      <c r="K8" s="19" t="n">
        <v>123</v>
      </c>
      <c r="L8" s="19" t="n">
        <f aca="false">SUMIF('Results 2026'!$B$2:$B$149,A8,'Results 2026'!$C$2:$C$149)</f>
        <v>17</v>
      </c>
      <c r="M8" s="19" t="n">
        <f aca="false">SUMIF('Results 2026'!$B$2:$B$149,A8,'Results 2026'!$D$2:$D$149)</f>
        <v>6</v>
      </c>
      <c r="N8" s="19" t="n">
        <f aca="false">SUMIF('Results 2026'!$B$2:$B$149,A8,'Results 2026'!$E$2:$E$149)</f>
        <v>1</v>
      </c>
      <c r="O8" s="29" t="n">
        <f aca="false">IF(ISERROR((L8+0.5*N8)/(L8+M8+N8)),0,(L8+0.5*N8)/(L8+M8+N8))</f>
        <v>0.729166666666667</v>
      </c>
      <c r="P8" s="20" t="n">
        <f aca="false">(G8+I8)/2</f>
        <v>52</v>
      </c>
      <c r="Q8" s="30"/>
      <c r="R8" s="20" t="n">
        <f aca="false">100*(P8-MIN($P$2:$P$75))/(MAX($P$2:$P$75)-MIN($P$2:$P$75))</f>
        <v>67.8571428571429</v>
      </c>
      <c r="S8" s="20" t="n">
        <f aca="false">100*(O8-MIN($O$2:$O$75))/(MAX($O$2:$O$75)-MIN($O$2:$O$75))</f>
        <v>64.7916666666667</v>
      </c>
      <c r="T8" s="20" t="str">
        <f aca="false">IF(OR(Q8="",COUNT($Q$2:$Q$75)&lt;2),"",100*(Q8-MIN($Q$2:$Q$75))/(MAX($Q$2:$Q$75)-MIN($Q$2:$Q$75)))</f>
        <v/>
      </c>
      <c r="U8" s="20" t="n">
        <f aca="false">(Assumptions!$B$4*R8+Assumptions!$B$5*S8+IF(T8="",0,Assumptions!$B$6*T8))/(Assumptions!$B$4+Assumptions!$B$5+IF(T8="",0,Assumptions!$B$6))</f>
        <v>66.6781135531136</v>
      </c>
      <c r="V8" s="19" t="n">
        <f aca="false">RANK(U8,$U$2:$U$75)+COUNTIF($U$2:U8,U8)-1</f>
        <v>9</v>
      </c>
    </row>
    <row r="9" customFormat="false" ht="15" hidden="false" customHeight="false" outlineLevel="0" collapsed="false">
      <c r="A9" s="19" t="n">
        <v>1261</v>
      </c>
      <c r="B9" s="19" t="s">
        <v>315</v>
      </c>
      <c r="C9" s="19" t="s">
        <v>307</v>
      </c>
      <c r="D9" s="19" t="n">
        <v>8</v>
      </c>
      <c r="E9" s="19" t="n">
        <v>217</v>
      </c>
      <c r="F9" s="19" t="s">
        <v>108</v>
      </c>
      <c r="G9" s="19" t="n">
        <v>51</v>
      </c>
      <c r="H9" s="19" t="s">
        <v>110</v>
      </c>
      <c r="I9" s="19" t="n">
        <v>40</v>
      </c>
      <c r="J9" s="19" t="n">
        <v>0</v>
      </c>
      <c r="K9" s="19" t="n">
        <v>126</v>
      </c>
      <c r="L9" s="19" t="n">
        <f aca="false">SUMIF('Results 2026'!$B$2:$B$149,A9,'Results 2026'!$C$2:$C$149)</f>
        <v>14</v>
      </c>
      <c r="M9" s="19" t="n">
        <f aca="false">SUMIF('Results 2026'!$B$2:$B$149,A9,'Results 2026'!$D$2:$D$149)</f>
        <v>10</v>
      </c>
      <c r="N9" s="19" t="n">
        <f aca="false">SUMIF('Results 2026'!$B$2:$B$149,A9,'Results 2026'!$E$2:$E$149)</f>
        <v>0</v>
      </c>
      <c r="O9" s="29" t="n">
        <f aca="false">IF(ISERROR((L9+0.5*N9)/(L9+M9+N9)),0,(L9+0.5*N9)/(L9+M9+N9))</f>
        <v>0.583333333333333</v>
      </c>
      <c r="P9" s="20" t="n">
        <f aca="false">(G9+I9)/2</f>
        <v>45.5</v>
      </c>
      <c r="Q9" s="30"/>
      <c r="R9" s="20" t="n">
        <f aca="false">100*(P9-MIN($P$2:$P$75))/(MAX($P$2:$P$75)-MIN($P$2:$P$75))</f>
        <v>58.5714285714286</v>
      </c>
      <c r="S9" s="20" t="n">
        <f aca="false">100*(O9-MIN($O$2:$O$75))/(MAX($O$2:$O$75)-MIN($O$2:$O$75))</f>
        <v>45.8333333333333</v>
      </c>
      <c r="T9" s="20" t="str">
        <f aca="false">IF(OR(Q9="",COUNT($Q$2:$Q$75)&lt;2),"",100*(Q9-MIN($Q$2:$Q$75))/(MAX($Q$2:$Q$75)-MIN($Q$2:$Q$75)))</f>
        <v/>
      </c>
      <c r="U9" s="20" t="n">
        <f aca="false">(Assumptions!$B$4*R9+Assumptions!$B$5*S9+IF(T9="",0,Assumptions!$B$6*T9))/(Assumptions!$B$4+Assumptions!$B$5+IF(T9="",0,Assumptions!$B$6))</f>
        <v>53.6721611721612</v>
      </c>
      <c r="V9" s="19" t="n">
        <f aca="false">RANK(U9,$U$2:$U$75)+COUNTIF($U$2:U9,U9)-1</f>
        <v>15</v>
      </c>
    </row>
    <row r="10" customFormat="false" ht="15" hidden="false" customHeight="false" outlineLevel="0" collapsed="false">
      <c r="A10" s="19" t="n">
        <v>4509</v>
      </c>
      <c r="B10" s="19" t="s">
        <v>316</v>
      </c>
      <c r="C10" s="19" t="s">
        <v>317</v>
      </c>
      <c r="D10" s="19" t="n">
        <v>9</v>
      </c>
      <c r="E10" s="19" t="n">
        <v>213</v>
      </c>
      <c r="F10" s="19" t="s">
        <v>108</v>
      </c>
      <c r="G10" s="19" t="n">
        <v>46</v>
      </c>
      <c r="H10" s="19" t="s">
        <v>107</v>
      </c>
      <c r="I10" s="19" t="n">
        <v>38</v>
      </c>
      <c r="J10" s="19" t="n">
        <v>0</v>
      </c>
      <c r="K10" s="19" t="n">
        <v>129</v>
      </c>
      <c r="L10" s="19" t="n">
        <f aca="false">SUMIF('Results 2026'!$B$2:$B$149,A10,'Results 2026'!$C$2:$C$149)</f>
        <v>15</v>
      </c>
      <c r="M10" s="19" t="n">
        <f aca="false">SUMIF('Results 2026'!$B$2:$B$149,A10,'Results 2026'!$D$2:$D$149)</f>
        <v>7</v>
      </c>
      <c r="N10" s="19" t="n">
        <f aca="false">SUMIF('Results 2026'!$B$2:$B$149,A10,'Results 2026'!$E$2:$E$149)</f>
        <v>1</v>
      </c>
      <c r="O10" s="29" t="n">
        <f aca="false">IF(ISERROR((L10+0.5*N10)/(L10+M10+N10)),0,(L10+0.5*N10)/(L10+M10+N10))</f>
        <v>0.673913043478261</v>
      </c>
      <c r="P10" s="20" t="n">
        <f aca="false">(G10+I10)/2</f>
        <v>42</v>
      </c>
      <c r="Q10" s="30"/>
      <c r="R10" s="20" t="n">
        <f aca="false">100*(P10-MIN($P$2:$P$75))/(MAX($P$2:$P$75)-MIN($P$2:$P$75))</f>
        <v>53.5714285714286</v>
      </c>
      <c r="S10" s="20" t="n">
        <f aca="false">100*(O10-MIN($O$2:$O$75))/(MAX($O$2:$O$75)-MIN($O$2:$O$75))</f>
        <v>57.6086956521739</v>
      </c>
      <c r="T10" s="20" t="str">
        <f aca="false">IF(OR(Q10="",COUNT($Q$2:$Q$75)&lt;2),"",100*(Q10-MIN($Q$2:$Q$75))/(MAX($Q$2:$Q$75)-MIN($Q$2:$Q$75)))</f>
        <v/>
      </c>
      <c r="U10" s="20" t="n">
        <f aca="false">(Assumptions!$B$4*R10+Assumptions!$B$5*S10+IF(T10="",0,Assumptions!$B$6*T10))/(Assumptions!$B$4+Assumptions!$B$5+IF(T10="",0,Assumptions!$B$6))</f>
        <v>55.1242236024845</v>
      </c>
      <c r="V10" s="19" t="n">
        <f aca="false">RANK(U10,$U$2:$U$75)+COUNTIF($U$2:U10,U10)-1</f>
        <v>13</v>
      </c>
    </row>
    <row r="11" customFormat="false" ht="15" hidden="false" customHeight="false" outlineLevel="0" collapsed="false">
      <c r="A11" s="19" t="n">
        <v>6829</v>
      </c>
      <c r="B11" s="19" t="s">
        <v>318</v>
      </c>
      <c r="C11" s="19" t="s">
        <v>307</v>
      </c>
      <c r="D11" s="19" t="n">
        <v>10</v>
      </c>
      <c r="E11" s="19" t="n">
        <v>207</v>
      </c>
      <c r="F11" s="19" t="s">
        <v>106</v>
      </c>
      <c r="G11" s="19" t="n">
        <v>60</v>
      </c>
      <c r="H11" s="19" t="s">
        <v>179</v>
      </c>
      <c r="I11" s="19" t="n">
        <v>51</v>
      </c>
      <c r="J11" s="19" t="n">
        <v>0</v>
      </c>
      <c r="K11" s="19" t="n">
        <v>96</v>
      </c>
      <c r="L11" s="19" t="n">
        <f aca="false">SUMIF('Results 2026'!$B$2:$B$149,A11,'Results 2026'!$C$2:$C$149)</f>
        <v>18</v>
      </c>
      <c r="M11" s="19" t="n">
        <f aca="false">SUMIF('Results 2026'!$B$2:$B$149,A11,'Results 2026'!$D$2:$D$149)</f>
        <v>6</v>
      </c>
      <c r="N11" s="19" t="n">
        <f aca="false">SUMIF('Results 2026'!$B$2:$B$149,A11,'Results 2026'!$E$2:$E$149)</f>
        <v>0</v>
      </c>
      <c r="O11" s="29" t="n">
        <f aca="false">IF(ISERROR((L11+0.5*N11)/(L11+M11+N11)),0,(L11+0.5*N11)/(L11+M11+N11))</f>
        <v>0.75</v>
      </c>
      <c r="P11" s="20" t="n">
        <f aca="false">(G11+I11)/2</f>
        <v>55.5</v>
      </c>
      <c r="Q11" s="30"/>
      <c r="R11" s="20" t="n">
        <f aca="false">100*(P11-MIN($P$2:$P$75))/(MAX($P$2:$P$75)-MIN($P$2:$P$75))</f>
        <v>72.8571428571429</v>
      </c>
      <c r="S11" s="20" t="n">
        <f aca="false">100*(O11-MIN($O$2:$O$75))/(MAX($O$2:$O$75)-MIN($O$2:$O$75))</f>
        <v>67.5</v>
      </c>
      <c r="T11" s="20" t="str">
        <f aca="false">IF(OR(Q11="",COUNT($Q$2:$Q$75)&lt;2),"",100*(Q11-MIN($Q$2:$Q$75))/(MAX($Q$2:$Q$75)-MIN($Q$2:$Q$75)))</f>
        <v/>
      </c>
      <c r="U11" s="20" t="n">
        <f aca="false">(Assumptions!$B$4*R11+Assumptions!$B$5*S11+IF(T11="",0,Assumptions!$B$6*T11))/(Assumptions!$B$4+Assumptions!$B$5+IF(T11="",0,Assumptions!$B$6))</f>
        <v>70.7967032967033</v>
      </c>
      <c r="V11" s="19" t="n">
        <f aca="false">RANK(U11,$U$2:$U$75)+COUNTIF($U$2:U11,U11)-1</f>
        <v>8</v>
      </c>
    </row>
    <row r="12" customFormat="false" ht="15" hidden="false" customHeight="false" outlineLevel="0" collapsed="false">
      <c r="A12" s="19" t="n">
        <v>1683</v>
      </c>
      <c r="B12" s="19" t="s">
        <v>319</v>
      </c>
      <c r="C12" s="19" t="s">
        <v>320</v>
      </c>
      <c r="D12" s="19" t="n">
        <v>11</v>
      </c>
      <c r="E12" s="19" t="n">
        <v>191</v>
      </c>
      <c r="F12" s="19" t="s">
        <v>108</v>
      </c>
      <c r="G12" s="19" t="n">
        <v>53</v>
      </c>
      <c r="H12" s="19" t="s">
        <v>107</v>
      </c>
      <c r="I12" s="19" t="n">
        <v>75</v>
      </c>
      <c r="J12" s="19" t="n">
        <v>0</v>
      </c>
      <c r="K12" s="19" t="n">
        <v>63</v>
      </c>
      <c r="L12" s="19" t="n">
        <f aca="false">SUMIF('Results 2026'!$B$2:$B$149,A12,'Results 2026'!$C$2:$C$149)</f>
        <v>17</v>
      </c>
      <c r="M12" s="19" t="n">
        <f aca="false">SUMIF('Results 2026'!$B$2:$B$149,A12,'Results 2026'!$D$2:$D$149)</f>
        <v>6</v>
      </c>
      <c r="N12" s="19" t="n">
        <f aca="false">SUMIF('Results 2026'!$B$2:$B$149,A12,'Results 2026'!$E$2:$E$149)</f>
        <v>1</v>
      </c>
      <c r="O12" s="29" t="n">
        <f aca="false">IF(ISERROR((L12+0.5*N12)/(L12+M12+N12)),0,(L12+0.5*N12)/(L12+M12+N12))</f>
        <v>0.729166666666667</v>
      </c>
      <c r="P12" s="20" t="n">
        <f aca="false">(G12+I12)/2</f>
        <v>64</v>
      </c>
      <c r="Q12" s="30"/>
      <c r="R12" s="20" t="n">
        <f aca="false">100*(P12-MIN($P$2:$P$75))/(MAX($P$2:$P$75)-MIN($P$2:$P$75))</f>
        <v>85</v>
      </c>
      <c r="S12" s="20" t="n">
        <f aca="false">100*(O12-MIN($O$2:$O$75))/(MAX($O$2:$O$75)-MIN($O$2:$O$75))</f>
        <v>64.7916666666667</v>
      </c>
      <c r="T12" s="20" t="str">
        <f aca="false">IF(OR(Q12="",COUNT($Q$2:$Q$75)&lt;2),"",100*(Q12-MIN($Q$2:$Q$75))/(MAX($Q$2:$Q$75)-MIN($Q$2:$Q$75)))</f>
        <v/>
      </c>
      <c r="U12" s="20" t="n">
        <f aca="false">(Assumptions!$B$4*R12+Assumptions!$B$5*S12+IF(T12="",0,Assumptions!$B$6*T12))/(Assumptions!$B$4+Assumptions!$B$5+IF(T12="",0,Assumptions!$B$6))</f>
        <v>77.2275641025641</v>
      </c>
      <c r="V12" s="19" t="n">
        <f aca="false">RANK(U12,$U$2:$U$75)+COUNTIF($U$2:U12,U12)-1</f>
        <v>7</v>
      </c>
    </row>
    <row r="13" customFormat="false" ht="15" hidden="false" customHeight="false" outlineLevel="0" collapsed="false">
      <c r="A13" s="19" t="n">
        <v>1648</v>
      </c>
      <c r="B13" s="19" t="s">
        <v>321</v>
      </c>
      <c r="C13" s="19" t="s">
        <v>322</v>
      </c>
      <c r="D13" s="19" t="n">
        <v>12</v>
      </c>
      <c r="E13" s="19" t="n">
        <v>182</v>
      </c>
      <c r="F13" s="19" t="s">
        <v>108</v>
      </c>
      <c r="G13" s="19" t="n">
        <v>58</v>
      </c>
      <c r="H13" s="19" t="s">
        <v>110</v>
      </c>
      <c r="I13" s="19" t="n">
        <v>28</v>
      </c>
      <c r="J13" s="19" t="n">
        <v>0</v>
      </c>
      <c r="K13" s="19" t="n">
        <v>96</v>
      </c>
      <c r="L13" s="19" t="n">
        <f aca="false">SUMIF('Results 2026'!$B$2:$B$149,A13,'Results 2026'!$C$2:$C$149)</f>
        <v>16</v>
      </c>
      <c r="M13" s="19" t="n">
        <f aca="false">SUMIF('Results 2026'!$B$2:$B$149,A13,'Results 2026'!$D$2:$D$149)</f>
        <v>8</v>
      </c>
      <c r="N13" s="19" t="n">
        <f aca="false">SUMIF('Results 2026'!$B$2:$B$149,A13,'Results 2026'!$E$2:$E$149)</f>
        <v>0</v>
      </c>
      <c r="O13" s="29" t="n">
        <f aca="false">IF(ISERROR((L13+0.5*N13)/(L13+M13+N13)),0,(L13+0.5*N13)/(L13+M13+N13))</f>
        <v>0.666666666666667</v>
      </c>
      <c r="P13" s="20" t="n">
        <f aca="false">(G13+I13)/2</f>
        <v>43</v>
      </c>
      <c r="Q13" s="30"/>
      <c r="R13" s="20" t="n">
        <f aca="false">100*(P13-MIN($P$2:$P$75))/(MAX($P$2:$P$75)-MIN($P$2:$P$75))</f>
        <v>55</v>
      </c>
      <c r="S13" s="20" t="n">
        <f aca="false">100*(O13-MIN($O$2:$O$75))/(MAX($O$2:$O$75)-MIN($O$2:$O$75))</f>
        <v>56.6666666666667</v>
      </c>
      <c r="T13" s="20" t="str">
        <f aca="false">IF(OR(Q13="",COUNT($Q$2:$Q$75)&lt;2),"",100*(Q13-MIN($Q$2:$Q$75))/(MAX($Q$2:$Q$75)-MIN($Q$2:$Q$75)))</f>
        <v/>
      </c>
      <c r="U13" s="20" t="n">
        <f aca="false">(Assumptions!$B$4*R13+Assumptions!$B$5*S13+IF(T13="",0,Assumptions!$B$6*T13))/(Assumptions!$B$4+Assumptions!$B$5+IF(T13="",0,Assumptions!$B$6))</f>
        <v>55.6410256410256</v>
      </c>
      <c r="V13" s="19" t="n">
        <f aca="false">RANK(U13,$U$2:$U$75)+COUNTIF($U$2:U13,U13)-1</f>
        <v>12</v>
      </c>
    </row>
    <row r="14" customFormat="false" ht="15" hidden="false" customHeight="false" outlineLevel="0" collapsed="false">
      <c r="A14" s="19" t="n">
        <v>6705</v>
      </c>
      <c r="B14" s="19" t="s">
        <v>323</v>
      </c>
      <c r="C14" s="19" t="s">
        <v>324</v>
      </c>
      <c r="D14" s="19" t="n">
        <v>13</v>
      </c>
      <c r="E14" s="19" t="n">
        <v>172</v>
      </c>
      <c r="F14" s="19" t="s">
        <v>108</v>
      </c>
      <c r="G14" s="19" t="n">
        <v>32</v>
      </c>
      <c r="H14" s="19" t="s">
        <v>107</v>
      </c>
      <c r="I14" s="19" t="n">
        <v>50</v>
      </c>
      <c r="J14" s="19" t="n">
        <v>0</v>
      </c>
      <c r="K14" s="19" t="n">
        <v>90</v>
      </c>
      <c r="L14" s="19" t="n">
        <f aca="false">SUMIF('Results 2026'!$B$2:$B$149,A14,'Results 2026'!$C$2:$C$149)</f>
        <v>11</v>
      </c>
      <c r="M14" s="19" t="n">
        <f aca="false">SUMIF('Results 2026'!$B$2:$B$149,A14,'Results 2026'!$D$2:$D$149)</f>
        <v>12</v>
      </c>
      <c r="N14" s="19" t="n">
        <f aca="false">SUMIF('Results 2026'!$B$2:$B$149,A14,'Results 2026'!$E$2:$E$149)</f>
        <v>1</v>
      </c>
      <c r="O14" s="29" t="n">
        <f aca="false">IF(ISERROR((L14+0.5*N14)/(L14+M14+N14)),0,(L14+0.5*N14)/(L14+M14+N14))</f>
        <v>0.479166666666667</v>
      </c>
      <c r="P14" s="20" t="n">
        <f aca="false">(G14+I14)/2</f>
        <v>41</v>
      </c>
      <c r="Q14" s="30"/>
      <c r="R14" s="20" t="n">
        <f aca="false">100*(P14-MIN($P$2:$P$75))/(MAX($P$2:$P$75)-MIN($P$2:$P$75))</f>
        <v>52.1428571428571</v>
      </c>
      <c r="S14" s="20" t="n">
        <f aca="false">100*(O14-MIN($O$2:$O$75))/(MAX($O$2:$O$75)-MIN($O$2:$O$75))</f>
        <v>32.2916666666667</v>
      </c>
      <c r="T14" s="20" t="str">
        <f aca="false">IF(OR(Q14="",COUNT($Q$2:$Q$75)&lt;2),"",100*(Q14-MIN($Q$2:$Q$75))/(MAX($Q$2:$Q$75)-MIN($Q$2:$Q$75)))</f>
        <v/>
      </c>
      <c r="U14" s="20" t="n">
        <f aca="false">(Assumptions!$B$4*R14+Assumptions!$B$5*S14+IF(T14="",0,Assumptions!$B$6*T14))/(Assumptions!$B$4+Assumptions!$B$5+IF(T14="",0,Assumptions!$B$6))</f>
        <v>44.5077838827839</v>
      </c>
      <c r="V14" s="19" t="n">
        <f aca="false">RANK(U14,$U$2:$U$75)+COUNTIF($U$2:U14,U14)-1</f>
        <v>22</v>
      </c>
    </row>
    <row r="15" customFormat="false" ht="15" hidden="false" customHeight="false" outlineLevel="0" collapsed="false">
      <c r="A15" s="19" t="n">
        <v>9477</v>
      </c>
      <c r="B15" s="19" t="s">
        <v>325</v>
      </c>
      <c r="C15" s="19" t="s">
        <v>307</v>
      </c>
      <c r="D15" s="19" t="n">
        <v>14</v>
      </c>
      <c r="E15" s="19" t="n">
        <v>170</v>
      </c>
      <c r="F15" s="19" t="s">
        <v>106</v>
      </c>
      <c r="G15" s="19" t="n">
        <v>38</v>
      </c>
      <c r="H15" s="19" t="s">
        <v>110</v>
      </c>
      <c r="I15" s="19" t="n">
        <v>33</v>
      </c>
      <c r="J15" s="19" t="n">
        <v>0</v>
      </c>
      <c r="K15" s="19" t="n">
        <v>99</v>
      </c>
      <c r="L15" s="19" t="n">
        <f aca="false">SUMIF('Results 2026'!$B$2:$B$149,A15,'Results 2026'!$C$2:$C$149)</f>
        <v>18</v>
      </c>
      <c r="M15" s="19" t="n">
        <f aca="false">SUMIF('Results 2026'!$B$2:$B$149,A15,'Results 2026'!$D$2:$D$149)</f>
        <v>5</v>
      </c>
      <c r="N15" s="19" t="n">
        <f aca="false">SUMIF('Results 2026'!$B$2:$B$149,A15,'Results 2026'!$E$2:$E$149)</f>
        <v>0</v>
      </c>
      <c r="O15" s="29" t="n">
        <f aca="false">IF(ISERROR((L15+0.5*N15)/(L15+M15+N15)),0,(L15+0.5*N15)/(L15+M15+N15))</f>
        <v>0.782608695652174</v>
      </c>
      <c r="P15" s="20" t="n">
        <f aca="false">(G15+I15)/2</f>
        <v>35.5</v>
      </c>
      <c r="Q15" s="30"/>
      <c r="R15" s="20" t="n">
        <f aca="false">100*(P15-MIN($P$2:$P$75))/(MAX($P$2:$P$75)-MIN($P$2:$P$75))</f>
        <v>44.2857142857143</v>
      </c>
      <c r="S15" s="20" t="n">
        <f aca="false">100*(O15-MIN($O$2:$O$75))/(MAX($O$2:$O$75)-MIN($O$2:$O$75))</f>
        <v>71.7391304347826</v>
      </c>
      <c r="T15" s="20" t="str">
        <f aca="false">IF(OR(Q15="",COUNT($Q$2:$Q$75)&lt;2),"",100*(Q15-MIN($Q$2:$Q$75))/(MAX($Q$2:$Q$75)-MIN($Q$2:$Q$75)))</f>
        <v/>
      </c>
      <c r="U15" s="20" t="n">
        <f aca="false">(Assumptions!$B$4*R15+Assumptions!$B$5*S15+IF(T15="",0,Assumptions!$B$6*T15))/(Assumptions!$B$4+Assumptions!$B$5+IF(T15="",0,Assumptions!$B$6))</f>
        <v>54.8447204968944</v>
      </c>
      <c r="V15" s="19" t="n">
        <f aca="false">RANK(U15,$U$2:$U$75)+COUNTIF($U$2:U15,U15)-1</f>
        <v>14</v>
      </c>
    </row>
    <row r="16" customFormat="false" ht="15" hidden="false" customHeight="false" outlineLevel="0" collapsed="false">
      <c r="A16" s="19" t="n">
        <v>8080</v>
      </c>
      <c r="B16" s="19" t="s">
        <v>326</v>
      </c>
      <c r="C16" s="19" t="s">
        <v>327</v>
      </c>
      <c r="D16" s="19" t="n">
        <v>15</v>
      </c>
      <c r="E16" s="19" t="n">
        <v>168</v>
      </c>
      <c r="F16" s="19" t="s">
        <v>110</v>
      </c>
      <c r="G16" s="19" t="n">
        <v>24</v>
      </c>
      <c r="H16" s="19" t="s">
        <v>107</v>
      </c>
      <c r="I16" s="19" t="n">
        <v>51</v>
      </c>
      <c r="J16" s="19" t="n">
        <v>0</v>
      </c>
      <c r="K16" s="19" t="n">
        <v>93</v>
      </c>
      <c r="L16" s="19" t="n">
        <f aca="false">SUMIF('Results 2026'!$B$2:$B$149,A16,'Results 2026'!$C$2:$C$149)</f>
        <v>15</v>
      </c>
      <c r="M16" s="19" t="n">
        <f aca="false">SUMIF('Results 2026'!$B$2:$B$149,A16,'Results 2026'!$D$2:$D$149)</f>
        <v>9</v>
      </c>
      <c r="N16" s="19" t="n">
        <f aca="false">SUMIF('Results 2026'!$B$2:$B$149,A16,'Results 2026'!$E$2:$E$149)</f>
        <v>0</v>
      </c>
      <c r="O16" s="29" t="n">
        <f aca="false">IF(ISERROR((L16+0.5*N16)/(L16+M16+N16)),0,(L16+0.5*N16)/(L16+M16+N16))</f>
        <v>0.625</v>
      </c>
      <c r="P16" s="20" t="n">
        <f aca="false">(G16+I16)/2</f>
        <v>37.5</v>
      </c>
      <c r="Q16" s="30"/>
      <c r="R16" s="20" t="n">
        <f aca="false">100*(P16-MIN($P$2:$P$75))/(MAX($P$2:$P$75)-MIN($P$2:$P$75))</f>
        <v>47.1428571428571</v>
      </c>
      <c r="S16" s="20" t="n">
        <f aca="false">100*(O16-MIN($O$2:$O$75))/(MAX($O$2:$O$75)-MIN($O$2:$O$75))</f>
        <v>51.25</v>
      </c>
      <c r="T16" s="20" t="str">
        <f aca="false">IF(OR(Q16="",COUNT($Q$2:$Q$75)&lt;2),"",100*(Q16-MIN($Q$2:$Q$75))/(MAX($Q$2:$Q$75)-MIN($Q$2:$Q$75)))</f>
        <v/>
      </c>
      <c r="U16" s="20" t="n">
        <f aca="false">(Assumptions!$B$4*R16+Assumptions!$B$5*S16+IF(T16="",0,Assumptions!$B$6*T16))/(Assumptions!$B$4+Assumptions!$B$5+IF(T16="",0,Assumptions!$B$6))</f>
        <v>48.7225274725275</v>
      </c>
      <c r="V16" s="19" t="n">
        <f aca="false">RANK(U16,$U$2:$U$75)+COUNTIF($U$2:U16,U16)-1</f>
        <v>18</v>
      </c>
    </row>
    <row r="17" customFormat="false" ht="15" hidden="false" customHeight="false" outlineLevel="0" collapsed="false">
      <c r="A17" s="19" t="n">
        <v>4026</v>
      </c>
      <c r="B17" s="19" t="s">
        <v>328</v>
      </c>
      <c r="C17" s="19" t="s">
        <v>329</v>
      </c>
      <c r="D17" s="19" t="n">
        <v>16</v>
      </c>
      <c r="E17" s="19" t="n">
        <v>166</v>
      </c>
      <c r="F17" s="19" t="s">
        <v>106</v>
      </c>
      <c r="G17" s="19" t="n">
        <v>30</v>
      </c>
      <c r="H17" s="19" t="s">
        <v>179</v>
      </c>
      <c r="I17" s="19" t="n">
        <v>58</v>
      </c>
      <c r="J17" s="19" t="n">
        <v>0</v>
      </c>
      <c r="K17" s="19" t="n">
        <v>78</v>
      </c>
      <c r="L17" s="19" t="n">
        <f aca="false">SUMIF('Results 2026'!$B$2:$B$149,A17,'Results 2026'!$C$2:$C$149)</f>
        <v>17</v>
      </c>
      <c r="M17" s="19" t="n">
        <f aca="false">SUMIF('Results 2026'!$B$2:$B$149,A17,'Results 2026'!$D$2:$D$149)</f>
        <v>7</v>
      </c>
      <c r="N17" s="19" t="n">
        <f aca="false">SUMIF('Results 2026'!$B$2:$B$149,A17,'Results 2026'!$E$2:$E$149)</f>
        <v>0</v>
      </c>
      <c r="O17" s="29" t="n">
        <f aca="false">IF(ISERROR((L17+0.5*N17)/(L17+M17+N17)),0,(L17+0.5*N17)/(L17+M17+N17))</f>
        <v>0.708333333333333</v>
      </c>
      <c r="P17" s="20" t="n">
        <f aca="false">(G17+I17)/2</f>
        <v>44</v>
      </c>
      <c r="Q17" s="30"/>
      <c r="R17" s="20" t="n">
        <f aca="false">100*(P17-MIN($P$2:$P$75))/(MAX($P$2:$P$75)-MIN($P$2:$P$75))</f>
        <v>56.4285714285714</v>
      </c>
      <c r="S17" s="20" t="n">
        <f aca="false">100*(O17-MIN($O$2:$O$75))/(MAX($O$2:$O$75)-MIN($O$2:$O$75))</f>
        <v>62.0833333333333</v>
      </c>
      <c r="T17" s="20" t="str">
        <f aca="false">IF(OR(Q17="",COUNT($Q$2:$Q$75)&lt;2),"",100*(Q17-MIN($Q$2:$Q$75))/(MAX($Q$2:$Q$75)-MIN($Q$2:$Q$75)))</f>
        <v/>
      </c>
      <c r="U17" s="20" t="n">
        <f aca="false">(Assumptions!$B$4*R17+Assumptions!$B$5*S17+IF(T17="",0,Assumptions!$B$6*T17))/(Assumptions!$B$4+Assumptions!$B$5+IF(T17="",0,Assumptions!$B$6))</f>
        <v>58.6034798534799</v>
      </c>
      <c r="V17" s="19" t="n">
        <f aca="false">RANK(U17,$U$2:$U$75)+COUNTIF($U$2:U17,U17)-1</f>
        <v>10</v>
      </c>
    </row>
    <row r="18" customFormat="false" ht="15" hidden="false" customHeight="false" outlineLevel="0" collapsed="false">
      <c r="A18" s="19" t="n">
        <v>8866</v>
      </c>
      <c r="B18" s="19" t="s">
        <v>330</v>
      </c>
      <c r="C18" s="19" t="s">
        <v>331</v>
      </c>
      <c r="D18" s="19" t="n">
        <v>17</v>
      </c>
      <c r="E18" s="19" t="n">
        <v>153</v>
      </c>
      <c r="F18" s="19" t="s">
        <v>106</v>
      </c>
      <c r="G18" s="19" t="n">
        <v>29</v>
      </c>
      <c r="H18" s="19" t="s">
        <v>110</v>
      </c>
      <c r="I18" s="19" t="n">
        <v>43</v>
      </c>
      <c r="J18" s="19" t="n">
        <v>0</v>
      </c>
      <c r="K18" s="19" t="n">
        <v>81</v>
      </c>
      <c r="L18" s="19" t="n">
        <f aca="false">SUMIF('Results 2026'!$B$2:$B$149,A18,'Results 2026'!$C$2:$C$149)</f>
        <v>9</v>
      </c>
      <c r="M18" s="19" t="n">
        <f aca="false">SUMIF('Results 2026'!$B$2:$B$149,A18,'Results 2026'!$D$2:$D$149)</f>
        <v>15</v>
      </c>
      <c r="N18" s="19" t="n">
        <f aca="false">SUMIF('Results 2026'!$B$2:$B$149,A18,'Results 2026'!$E$2:$E$149)</f>
        <v>0</v>
      </c>
      <c r="O18" s="29" t="n">
        <f aca="false">IF(ISERROR((L18+0.5*N18)/(L18+M18+N18)),0,(L18+0.5*N18)/(L18+M18+N18))</f>
        <v>0.375</v>
      </c>
      <c r="P18" s="20" t="n">
        <f aca="false">(G18+I18)/2</f>
        <v>36</v>
      </c>
      <c r="Q18" s="30"/>
      <c r="R18" s="20" t="n">
        <f aca="false">100*(P18-MIN($P$2:$P$75))/(MAX($P$2:$P$75)-MIN($P$2:$P$75))</f>
        <v>45</v>
      </c>
      <c r="S18" s="20" t="n">
        <f aca="false">100*(O18-MIN($O$2:$O$75))/(MAX($O$2:$O$75)-MIN($O$2:$O$75))</f>
        <v>18.75</v>
      </c>
      <c r="T18" s="20" t="str">
        <f aca="false">IF(OR(Q18="",COUNT($Q$2:$Q$75)&lt;2),"",100*(Q18-MIN($Q$2:$Q$75))/(MAX($Q$2:$Q$75)-MIN($Q$2:$Q$75)))</f>
        <v/>
      </c>
      <c r="U18" s="20" t="n">
        <f aca="false">(Assumptions!$B$4*R18+Assumptions!$B$5*S18+IF(T18="",0,Assumptions!$B$6*T18))/(Assumptions!$B$4+Assumptions!$B$5+IF(T18="",0,Assumptions!$B$6))</f>
        <v>34.9038461538462</v>
      </c>
      <c r="V18" s="19" t="n">
        <f aca="false">RANK(U18,$U$2:$U$75)+COUNTIF($U$2:U18,U18)-1</f>
        <v>36</v>
      </c>
    </row>
    <row r="19" customFormat="false" ht="15" hidden="false" customHeight="false" outlineLevel="0" collapsed="false">
      <c r="A19" s="19" t="n">
        <v>1414</v>
      </c>
      <c r="B19" s="19" t="s">
        <v>332</v>
      </c>
      <c r="C19" s="19" t="s">
        <v>322</v>
      </c>
      <c r="D19" s="19" t="n">
        <v>18</v>
      </c>
      <c r="E19" s="19" t="n">
        <v>152</v>
      </c>
      <c r="F19" s="19" t="s">
        <v>179</v>
      </c>
      <c r="G19" s="19" t="n">
        <v>29</v>
      </c>
      <c r="H19" s="19" t="s">
        <v>107</v>
      </c>
      <c r="I19" s="19" t="n">
        <v>48</v>
      </c>
      <c r="J19" s="19" t="n">
        <v>0</v>
      </c>
      <c r="K19" s="19" t="n">
        <v>75</v>
      </c>
      <c r="L19" s="19" t="n">
        <f aca="false">SUMIF('Results 2026'!$B$2:$B$149,A19,'Results 2026'!$C$2:$C$149)</f>
        <v>11</v>
      </c>
      <c r="M19" s="19" t="n">
        <f aca="false">SUMIF('Results 2026'!$B$2:$B$149,A19,'Results 2026'!$D$2:$D$149)</f>
        <v>12</v>
      </c>
      <c r="N19" s="19" t="n">
        <f aca="false">SUMIF('Results 2026'!$B$2:$B$149,A19,'Results 2026'!$E$2:$E$149)</f>
        <v>1</v>
      </c>
      <c r="O19" s="29" t="n">
        <f aca="false">IF(ISERROR((L19+0.5*N19)/(L19+M19+N19)),0,(L19+0.5*N19)/(L19+M19+N19))</f>
        <v>0.479166666666667</v>
      </c>
      <c r="P19" s="20" t="n">
        <f aca="false">(G19+I19)/2</f>
        <v>38.5</v>
      </c>
      <c r="Q19" s="30"/>
      <c r="R19" s="20" t="n">
        <f aca="false">100*(P19-MIN($P$2:$P$75))/(MAX($P$2:$P$75)-MIN($P$2:$P$75))</f>
        <v>48.5714285714286</v>
      </c>
      <c r="S19" s="20" t="n">
        <f aca="false">100*(O19-MIN($O$2:$O$75))/(MAX($O$2:$O$75)-MIN($O$2:$O$75))</f>
        <v>32.2916666666667</v>
      </c>
      <c r="T19" s="20" t="str">
        <f aca="false">IF(OR(Q19="",COUNT($Q$2:$Q$75)&lt;2),"",100*(Q19-MIN($Q$2:$Q$75))/(MAX($Q$2:$Q$75)-MIN($Q$2:$Q$75)))</f>
        <v/>
      </c>
      <c r="U19" s="20" t="n">
        <f aca="false">(Assumptions!$B$4*R19+Assumptions!$B$5*S19+IF(T19="",0,Assumptions!$B$6*T19))/(Assumptions!$B$4+Assumptions!$B$5+IF(T19="",0,Assumptions!$B$6))</f>
        <v>42.3099816849817</v>
      </c>
      <c r="V19" s="19" t="n">
        <f aca="false">RANK(U19,$U$2:$U$75)+COUNTIF($U$2:U19,U19)-1</f>
        <v>24</v>
      </c>
    </row>
    <row r="20" customFormat="false" ht="15" hidden="false" customHeight="false" outlineLevel="0" collapsed="false">
      <c r="A20" s="19" t="n">
        <v>3635</v>
      </c>
      <c r="B20" s="19" t="s">
        <v>333</v>
      </c>
      <c r="C20" s="19" t="s">
        <v>334</v>
      </c>
      <c r="D20" s="19" t="n">
        <v>19</v>
      </c>
      <c r="E20" s="19" t="n">
        <v>150</v>
      </c>
      <c r="F20" s="19" t="s">
        <v>179</v>
      </c>
      <c r="G20" s="19" t="n">
        <v>23</v>
      </c>
      <c r="H20" s="19" t="s">
        <v>110</v>
      </c>
      <c r="I20" s="19" t="n">
        <v>28</v>
      </c>
      <c r="J20" s="19" t="n">
        <v>0</v>
      </c>
      <c r="K20" s="19" t="n">
        <v>99</v>
      </c>
      <c r="L20" s="19" t="n">
        <f aca="false">SUMIF('Results 2026'!$B$2:$B$149,A20,'Results 2026'!$C$2:$C$149)</f>
        <v>10</v>
      </c>
      <c r="M20" s="19" t="n">
        <f aca="false">SUMIF('Results 2026'!$B$2:$B$149,A20,'Results 2026'!$D$2:$D$149)</f>
        <v>13</v>
      </c>
      <c r="N20" s="19" t="n">
        <f aca="false">SUMIF('Results 2026'!$B$2:$B$149,A20,'Results 2026'!$E$2:$E$149)</f>
        <v>1</v>
      </c>
      <c r="O20" s="29" t="n">
        <f aca="false">IF(ISERROR((L20+0.5*N20)/(L20+M20+N20)),0,(L20+0.5*N20)/(L20+M20+N20))</f>
        <v>0.4375</v>
      </c>
      <c r="P20" s="20" t="n">
        <f aca="false">(G20+I20)/2</f>
        <v>25.5</v>
      </c>
      <c r="Q20" s="30"/>
      <c r="R20" s="20" t="n">
        <f aca="false">100*(P20-MIN($P$2:$P$75))/(MAX($P$2:$P$75)-MIN($P$2:$P$75))</f>
        <v>30</v>
      </c>
      <c r="S20" s="20" t="n">
        <f aca="false">100*(O20-MIN($O$2:$O$75))/(MAX($O$2:$O$75)-MIN($O$2:$O$75))</f>
        <v>26.875</v>
      </c>
      <c r="T20" s="20" t="str">
        <f aca="false">IF(OR(Q20="",COUNT($Q$2:$Q$75)&lt;2),"",100*(Q20-MIN($Q$2:$Q$75))/(MAX($Q$2:$Q$75)-MIN($Q$2:$Q$75)))</f>
        <v/>
      </c>
      <c r="U20" s="20" t="n">
        <f aca="false">(Assumptions!$B$4*R20+Assumptions!$B$5*S20+IF(T20="",0,Assumptions!$B$6*T20))/(Assumptions!$B$4+Assumptions!$B$5+IF(T20="",0,Assumptions!$B$6))</f>
        <v>28.7980769230769</v>
      </c>
      <c r="V20" s="19" t="n">
        <f aca="false">RANK(U20,$U$2:$U$75)+COUNTIF($U$2:U20,U20)-1</f>
        <v>46</v>
      </c>
    </row>
    <row r="21" customFormat="false" ht="15" hidden="false" customHeight="false" outlineLevel="0" collapsed="false">
      <c r="A21" s="19" t="n">
        <v>5109</v>
      </c>
      <c r="B21" s="19" t="s">
        <v>335</v>
      </c>
      <c r="C21" s="19" t="s">
        <v>320</v>
      </c>
      <c r="D21" s="19" t="n">
        <v>20</v>
      </c>
      <c r="E21" s="19" t="n">
        <v>147</v>
      </c>
      <c r="F21" s="19" t="s">
        <v>108</v>
      </c>
      <c r="G21" s="19" t="n">
        <v>30</v>
      </c>
      <c r="H21" s="19" t="s">
        <v>110</v>
      </c>
      <c r="I21" s="19" t="n">
        <v>45</v>
      </c>
      <c r="J21" s="19" t="n">
        <v>0</v>
      </c>
      <c r="K21" s="19" t="n">
        <v>72</v>
      </c>
      <c r="L21" s="19" t="n">
        <f aca="false">SUMIF('Results 2026'!$B$2:$B$149,A21,'Results 2026'!$C$2:$C$149)</f>
        <v>16</v>
      </c>
      <c r="M21" s="19" t="n">
        <f aca="false">SUMIF('Results 2026'!$B$2:$B$149,A21,'Results 2026'!$D$2:$D$149)</f>
        <v>8</v>
      </c>
      <c r="N21" s="19" t="n">
        <f aca="false">SUMIF('Results 2026'!$B$2:$B$149,A21,'Results 2026'!$E$2:$E$149)</f>
        <v>0</v>
      </c>
      <c r="O21" s="29" t="n">
        <f aca="false">IF(ISERROR((L21+0.5*N21)/(L21+M21+N21)),0,(L21+0.5*N21)/(L21+M21+N21))</f>
        <v>0.666666666666667</v>
      </c>
      <c r="P21" s="20" t="n">
        <f aca="false">(G21+I21)/2</f>
        <v>37.5</v>
      </c>
      <c r="Q21" s="30"/>
      <c r="R21" s="20" t="n">
        <f aca="false">100*(P21-MIN($P$2:$P$75))/(MAX($P$2:$P$75)-MIN($P$2:$P$75))</f>
        <v>47.1428571428571</v>
      </c>
      <c r="S21" s="20" t="n">
        <f aca="false">100*(O21-MIN($O$2:$O$75))/(MAX($O$2:$O$75)-MIN($O$2:$O$75))</f>
        <v>56.6666666666667</v>
      </c>
      <c r="T21" s="20" t="str">
        <f aca="false">IF(OR(Q21="",COUNT($Q$2:$Q$75)&lt;2),"",100*(Q21-MIN($Q$2:$Q$75))/(MAX($Q$2:$Q$75)-MIN($Q$2:$Q$75)))</f>
        <v/>
      </c>
      <c r="U21" s="20" t="n">
        <f aca="false">(Assumptions!$B$4*R21+Assumptions!$B$5*S21+IF(T21="",0,Assumptions!$B$6*T21))/(Assumptions!$B$4+Assumptions!$B$5+IF(T21="",0,Assumptions!$B$6))</f>
        <v>50.8058608058608</v>
      </c>
      <c r="V21" s="19" t="n">
        <f aca="false">RANK(U21,$U$2:$U$75)+COUNTIF($U$2:U21,U21)-1</f>
        <v>16</v>
      </c>
    </row>
    <row r="22" customFormat="false" ht="15" hidden="false" customHeight="false" outlineLevel="0" collapsed="false">
      <c r="A22" s="19" t="n">
        <v>7451</v>
      </c>
      <c r="B22" s="19" t="s">
        <v>336</v>
      </c>
      <c r="C22" s="19" t="s">
        <v>305</v>
      </c>
      <c r="D22" s="19" t="n">
        <v>21</v>
      </c>
      <c r="E22" s="19" t="n">
        <v>140</v>
      </c>
      <c r="F22" s="19" t="s">
        <v>106</v>
      </c>
      <c r="G22" s="19" t="n">
        <v>42</v>
      </c>
      <c r="H22" s="19" t="s">
        <v>179</v>
      </c>
      <c r="I22" s="19" t="n">
        <v>38</v>
      </c>
      <c r="J22" s="19" t="n">
        <v>0</v>
      </c>
      <c r="K22" s="19" t="n">
        <v>60</v>
      </c>
      <c r="L22" s="19" t="n">
        <f aca="false">SUMIF('Results 2026'!$B$2:$B$149,A22,'Results 2026'!$C$2:$C$149)</f>
        <v>14</v>
      </c>
      <c r="M22" s="19" t="n">
        <f aca="false">SUMIF('Results 2026'!$B$2:$B$149,A22,'Results 2026'!$D$2:$D$149)</f>
        <v>9</v>
      </c>
      <c r="N22" s="19" t="n">
        <f aca="false">SUMIF('Results 2026'!$B$2:$B$149,A22,'Results 2026'!$E$2:$E$149)</f>
        <v>1</v>
      </c>
      <c r="O22" s="29" t="n">
        <f aca="false">IF(ISERROR((L22+0.5*N22)/(L22+M22+N22)),0,(L22+0.5*N22)/(L22+M22+N22))</f>
        <v>0.604166666666667</v>
      </c>
      <c r="P22" s="20" t="n">
        <f aca="false">(G22+I22)/2</f>
        <v>40</v>
      </c>
      <c r="Q22" s="30"/>
      <c r="R22" s="20" t="n">
        <f aca="false">100*(P22-MIN($P$2:$P$75))/(MAX($P$2:$P$75)-MIN($P$2:$P$75))</f>
        <v>50.7142857142857</v>
      </c>
      <c r="S22" s="20" t="n">
        <f aca="false">100*(O22-MIN($O$2:$O$75))/(MAX($O$2:$O$75)-MIN($O$2:$O$75))</f>
        <v>48.5416666666667</v>
      </c>
      <c r="T22" s="20" t="str">
        <f aca="false">IF(OR(Q22="",COUNT($Q$2:$Q$75)&lt;2),"",100*(Q22-MIN($Q$2:$Q$75))/(MAX($Q$2:$Q$75)-MIN($Q$2:$Q$75)))</f>
        <v/>
      </c>
      <c r="U22" s="20" t="n">
        <f aca="false">(Assumptions!$B$4*R22+Assumptions!$B$5*S22+IF(T22="",0,Assumptions!$B$6*T22))/(Assumptions!$B$4+Assumptions!$B$5+IF(T22="",0,Assumptions!$B$6))</f>
        <v>49.878663003663</v>
      </c>
      <c r="V22" s="19" t="n">
        <f aca="false">RANK(U22,$U$2:$U$75)+COUNTIF($U$2:U22,U22)-1</f>
        <v>17</v>
      </c>
    </row>
    <row r="23" customFormat="false" ht="15" hidden="false" customHeight="false" outlineLevel="0" collapsed="false">
      <c r="A23" s="19" t="n">
        <v>8736</v>
      </c>
      <c r="B23" s="19" t="s">
        <v>337</v>
      </c>
      <c r="C23" s="19" t="s">
        <v>310</v>
      </c>
      <c r="D23" s="19" t="n">
        <v>22</v>
      </c>
      <c r="E23" s="19" t="n">
        <v>138</v>
      </c>
      <c r="F23" s="19" t="s">
        <v>106</v>
      </c>
      <c r="G23" s="19" t="n">
        <v>39</v>
      </c>
      <c r="H23" s="19" t="s">
        <v>110</v>
      </c>
      <c r="I23" s="19" t="n">
        <v>27</v>
      </c>
      <c r="J23" s="19" t="n">
        <v>0</v>
      </c>
      <c r="K23" s="19" t="n">
        <v>72</v>
      </c>
      <c r="L23" s="19" t="n">
        <f aca="false">SUMIF('Results 2026'!$B$2:$B$149,A23,'Results 2026'!$C$2:$C$149)</f>
        <v>12</v>
      </c>
      <c r="M23" s="19" t="n">
        <f aca="false">SUMIF('Results 2026'!$B$2:$B$149,A23,'Results 2026'!$D$2:$D$149)</f>
        <v>11</v>
      </c>
      <c r="N23" s="19" t="n">
        <f aca="false">SUMIF('Results 2026'!$B$2:$B$149,A23,'Results 2026'!$E$2:$E$149)</f>
        <v>1</v>
      </c>
      <c r="O23" s="29" t="n">
        <f aca="false">IF(ISERROR((L23+0.5*N23)/(L23+M23+N23)),0,(L23+0.5*N23)/(L23+M23+N23))</f>
        <v>0.520833333333333</v>
      </c>
      <c r="P23" s="20" t="n">
        <f aca="false">(G23+I23)/2</f>
        <v>33</v>
      </c>
      <c r="Q23" s="30"/>
      <c r="R23" s="20" t="n">
        <f aca="false">100*(P23-MIN($P$2:$P$75))/(MAX($P$2:$P$75)-MIN($P$2:$P$75))</f>
        <v>40.7142857142857</v>
      </c>
      <c r="S23" s="20" t="n">
        <f aca="false">100*(O23-MIN($O$2:$O$75))/(MAX($O$2:$O$75)-MIN($O$2:$O$75))</f>
        <v>37.7083333333333</v>
      </c>
      <c r="T23" s="20" t="str">
        <f aca="false">IF(OR(Q23="",COUNT($Q$2:$Q$75)&lt;2),"",100*(Q23-MIN($Q$2:$Q$75))/(MAX($Q$2:$Q$75)-MIN($Q$2:$Q$75)))</f>
        <v/>
      </c>
      <c r="U23" s="20" t="n">
        <f aca="false">(Assumptions!$B$4*R23+Assumptions!$B$5*S23+IF(T23="",0,Assumptions!$B$6*T23))/(Assumptions!$B$4+Assumptions!$B$5+IF(T23="",0,Assumptions!$B$6))</f>
        <v>39.5581501831502</v>
      </c>
      <c r="V23" s="19" t="n">
        <f aca="false">RANK(U23,$U$2:$U$75)+COUNTIF($U$2:U23,U23)-1</f>
        <v>27</v>
      </c>
    </row>
    <row r="24" customFormat="false" ht="15" hidden="false" customHeight="false" outlineLevel="0" collapsed="false">
      <c r="A24" s="19" t="n">
        <v>6023</v>
      </c>
      <c r="B24" s="19" t="s">
        <v>338</v>
      </c>
      <c r="C24" s="19" t="s">
        <v>322</v>
      </c>
      <c r="D24" s="19" t="n">
        <v>23</v>
      </c>
      <c r="E24" s="19" t="n">
        <v>125</v>
      </c>
      <c r="F24" s="19" t="s">
        <v>106</v>
      </c>
      <c r="G24" s="19" t="n">
        <v>16</v>
      </c>
      <c r="H24" s="19" t="s">
        <v>110</v>
      </c>
      <c r="I24" s="19" t="n">
        <v>37</v>
      </c>
      <c r="J24" s="19" t="n">
        <v>0</v>
      </c>
      <c r="K24" s="19" t="n">
        <v>72</v>
      </c>
      <c r="L24" s="19" t="n">
        <f aca="false">SUMIF('Results 2026'!$B$2:$B$149,A24,'Results 2026'!$C$2:$C$149)</f>
        <v>13</v>
      </c>
      <c r="M24" s="19" t="n">
        <f aca="false">SUMIF('Results 2026'!$B$2:$B$149,A24,'Results 2026'!$D$2:$D$149)</f>
        <v>9</v>
      </c>
      <c r="N24" s="19" t="n">
        <f aca="false">SUMIF('Results 2026'!$B$2:$B$149,A24,'Results 2026'!$E$2:$E$149)</f>
        <v>0</v>
      </c>
      <c r="O24" s="29" t="n">
        <f aca="false">IF(ISERROR((L24+0.5*N24)/(L24+M24+N24)),0,(L24+0.5*N24)/(L24+M24+N24))</f>
        <v>0.590909090909091</v>
      </c>
      <c r="P24" s="20" t="n">
        <f aca="false">(G24+I24)/2</f>
        <v>26.5</v>
      </c>
      <c r="Q24" s="30"/>
      <c r="R24" s="20" t="n">
        <f aca="false">100*(P24-MIN($P$2:$P$75))/(MAX($P$2:$P$75)-MIN($P$2:$P$75))</f>
        <v>31.4285714285714</v>
      </c>
      <c r="S24" s="20" t="n">
        <f aca="false">100*(O24-MIN($O$2:$O$75))/(MAX($O$2:$O$75)-MIN($O$2:$O$75))</f>
        <v>46.8181818181818</v>
      </c>
      <c r="T24" s="20" t="str">
        <f aca="false">IF(OR(Q24="",COUNT($Q$2:$Q$75)&lt;2),"",100*(Q24-MIN($Q$2:$Q$75))/(MAX($Q$2:$Q$75)-MIN($Q$2:$Q$75)))</f>
        <v/>
      </c>
      <c r="U24" s="20" t="n">
        <f aca="false">(Assumptions!$B$4*R24+Assumptions!$B$5*S24+IF(T24="",0,Assumptions!$B$6*T24))/(Assumptions!$B$4+Assumptions!$B$5+IF(T24="",0,Assumptions!$B$6))</f>
        <v>37.3476523476524</v>
      </c>
      <c r="V24" s="19" t="n">
        <f aca="false">RANK(U24,$U$2:$U$75)+COUNTIF($U$2:U24,U24)-1</f>
        <v>30</v>
      </c>
    </row>
    <row r="25" customFormat="false" ht="15" hidden="false" customHeight="false" outlineLevel="0" collapsed="false">
      <c r="A25" s="19" t="n">
        <v>832</v>
      </c>
      <c r="B25" s="19" t="s">
        <v>339</v>
      </c>
      <c r="C25" s="19" t="s">
        <v>340</v>
      </c>
      <c r="D25" s="19" t="n">
        <v>24</v>
      </c>
      <c r="E25" s="19" t="n">
        <v>124</v>
      </c>
      <c r="F25" s="19" t="s">
        <v>106</v>
      </c>
      <c r="G25" s="19" t="n">
        <v>25</v>
      </c>
      <c r="H25" s="19" t="s">
        <v>179</v>
      </c>
      <c r="I25" s="19" t="n">
        <v>60</v>
      </c>
      <c r="J25" s="19" t="n">
        <v>0</v>
      </c>
      <c r="K25" s="19" t="n">
        <v>39</v>
      </c>
      <c r="L25" s="19" t="n">
        <f aca="false">SUMIF('Results 2026'!$B$2:$B$149,A25,'Results 2026'!$C$2:$C$149)</f>
        <v>17</v>
      </c>
      <c r="M25" s="19" t="n">
        <f aca="false">SUMIF('Results 2026'!$B$2:$B$149,A25,'Results 2026'!$D$2:$D$149)</f>
        <v>7</v>
      </c>
      <c r="N25" s="19" t="n">
        <f aca="false">SUMIF('Results 2026'!$B$2:$B$149,A25,'Results 2026'!$E$2:$E$149)</f>
        <v>0</v>
      </c>
      <c r="O25" s="29" t="n">
        <f aca="false">IF(ISERROR((L25+0.5*N25)/(L25+M25+N25)),0,(L25+0.5*N25)/(L25+M25+N25))</f>
        <v>0.708333333333333</v>
      </c>
      <c r="P25" s="20" t="n">
        <f aca="false">(G25+I25)/2</f>
        <v>42.5</v>
      </c>
      <c r="Q25" s="30"/>
      <c r="R25" s="20" t="n">
        <f aca="false">100*(P25-MIN($P$2:$P$75))/(MAX($P$2:$P$75)-MIN($P$2:$P$75))</f>
        <v>54.2857142857143</v>
      </c>
      <c r="S25" s="20" t="n">
        <f aca="false">100*(O25-MIN($O$2:$O$75))/(MAX($O$2:$O$75)-MIN($O$2:$O$75))</f>
        <v>62.0833333333333</v>
      </c>
      <c r="T25" s="20" t="str">
        <f aca="false">IF(OR(Q25="",COUNT($Q$2:$Q$75)&lt;2),"",100*(Q25-MIN($Q$2:$Q$75))/(MAX($Q$2:$Q$75)-MIN($Q$2:$Q$75)))</f>
        <v/>
      </c>
      <c r="U25" s="20" t="n">
        <f aca="false">(Assumptions!$B$4*R25+Assumptions!$B$5*S25+IF(T25="",0,Assumptions!$B$6*T25))/(Assumptions!$B$4+Assumptions!$B$5+IF(T25="",0,Assumptions!$B$6))</f>
        <v>57.2847985347985</v>
      </c>
      <c r="V25" s="19" t="n">
        <f aca="false">RANK(U25,$U$2:$U$75)+COUNTIF($U$2:U25,U25)-1</f>
        <v>11</v>
      </c>
    </row>
    <row r="26" customFormat="false" ht="15" hidden="false" customHeight="false" outlineLevel="0" collapsed="false">
      <c r="A26" s="19" t="n">
        <v>1746</v>
      </c>
      <c r="B26" s="19" t="s">
        <v>341</v>
      </c>
      <c r="C26" s="19" t="s">
        <v>305</v>
      </c>
      <c r="D26" s="19" t="n">
        <v>25</v>
      </c>
      <c r="E26" s="19" t="n">
        <v>122</v>
      </c>
      <c r="F26" s="19" t="s">
        <v>106</v>
      </c>
      <c r="G26" s="19" t="n">
        <v>25</v>
      </c>
      <c r="H26" s="19" t="s">
        <v>107</v>
      </c>
      <c r="I26" s="19" t="n">
        <v>34</v>
      </c>
      <c r="J26" s="19" t="n">
        <v>0</v>
      </c>
      <c r="K26" s="19" t="n">
        <v>63</v>
      </c>
      <c r="L26" s="19" t="n">
        <f aca="false">SUMIF('Results 2026'!$B$2:$B$149,A26,'Results 2026'!$C$2:$C$149)</f>
        <v>13</v>
      </c>
      <c r="M26" s="19" t="n">
        <f aca="false">SUMIF('Results 2026'!$B$2:$B$149,A26,'Results 2026'!$D$2:$D$149)</f>
        <v>11</v>
      </c>
      <c r="N26" s="19" t="n">
        <f aca="false">SUMIF('Results 2026'!$B$2:$B$149,A26,'Results 2026'!$E$2:$E$149)</f>
        <v>0</v>
      </c>
      <c r="O26" s="29" t="n">
        <f aca="false">IF(ISERROR((L26+0.5*N26)/(L26+M26+N26)),0,(L26+0.5*N26)/(L26+M26+N26))</f>
        <v>0.541666666666667</v>
      </c>
      <c r="P26" s="20" t="n">
        <f aca="false">(G26+I26)/2</f>
        <v>29.5</v>
      </c>
      <c r="Q26" s="30"/>
      <c r="R26" s="20" t="n">
        <f aca="false">100*(P26-MIN($P$2:$P$75))/(MAX($P$2:$P$75)-MIN($P$2:$P$75))</f>
        <v>35.7142857142857</v>
      </c>
      <c r="S26" s="20" t="n">
        <f aca="false">100*(O26-MIN($O$2:$O$75))/(MAX($O$2:$O$75)-MIN($O$2:$O$75))</f>
        <v>40.4166666666667</v>
      </c>
      <c r="T26" s="20" t="str">
        <f aca="false">IF(OR(Q26="",COUNT($Q$2:$Q$75)&lt;2),"",100*(Q26-MIN($Q$2:$Q$75))/(MAX($Q$2:$Q$75)-MIN($Q$2:$Q$75)))</f>
        <v/>
      </c>
      <c r="U26" s="20" t="n">
        <f aca="false">(Assumptions!$B$4*R26+Assumptions!$B$5*S26+IF(T26="",0,Assumptions!$B$6*T26))/(Assumptions!$B$4+Assumptions!$B$5+IF(T26="",0,Assumptions!$B$6))</f>
        <v>37.5228937728938</v>
      </c>
      <c r="V26" s="19" t="n">
        <f aca="false">RANK(U26,$U$2:$U$75)+COUNTIF($U$2:U26,U26)-1</f>
        <v>29</v>
      </c>
    </row>
    <row r="27" customFormat="false" ht="15" hidden="false" customHeight="false" outlineLevel="0" collapsed="false">
      <c r="A27" s="19" t="n">
        <v>6925</v>
      </c>
      <c r="B27" s="19" t="s">
        <v>342</v>
      </c>
      <c r="C27" s="19" t="s">
        <v>343</v>
      </c>
      <c r="D27" s="19" t="n">
        <v>26</v>
      </c>
      <c r="E27" s="19" t="n">
        <v>115</v>
      </c>
      <c r="F27" s="19" t="s">
        <v>179</v>
      </c>
      <c r="G27" s="19" t="n">
        <v>38</v>
      </c>
      <c r="H27" s="19" t="s">
        <v>110</v>
      </c>
      <c r="I27" s="19" t="n">
        <v>26</v>
      </c>
      <c r="J27" s="19" t="n">
        <v>0</v>
      </c>
      <c r="K27" s="19" t="n">
        <v>51</v>
      </c>
      <c r="L27" s="19" t="n">
        <f aca="false">SUMIF('Results 2026'!$B$2:$B$149,A27,'Results 2026'!$C$2:$C$149)</f>
        <v>13</v>
      </c>
      <c r="M27" s="19" t="n">
        <f aca="false">SUMIF('Results 2026'!$B$2:$B$149,A27,'Results 2026'!$D$2:$D$149)</f>
        <v>11</v>
      </c>
      <c r="N27" s="19" t="n">
        <f aca="false">SUMIF('Results 2026'!$B$2:$B$149,A27,'Results 2026'!$E$2:$E$149)</f>
        <v>0</v>
      </c>
      <c r="O27" s="29" t="n">
        <f aca="false">IF(ISERROR((L27+0.5*N27)/(L27+M27+N27)),0,(L27+0.5*N27)/(L27+M27+N27))</f>
        <v>0.541666666666667</v>
      </c>
      <c r="P27" s="20" t="n">
        <f aca="false">(G27+I27)/2</f>
        <v>32</v>
      </c>
      <c r="Q27" s="30"/>
      <c r="R27" s="20" t="n">
        <f aca="false">100*(P27-MIN($P$2:$P$75))/(MAX($P$2:$P$75)-MIN($P$2:$P$75))</f>
        <v>39.2857142857143</v>
      </c>
      <c r="S27" s="20" t="n">
        <f aca="false">100*(O27-MIN($O$2:$O$75))/(MAX($O$2:$O$75)-MIN($O$2:$O$75))</f>
        <v>40.4166666666667</v>
      </c>
      <c r="T27" s="20" t="str">
        <f aca="false">IF(OR(Q27="",COUNT($Q$2:$Q$75)&lt;2),"",100*(Q27-MIN($Q$2:$Q$75))/(MAX($Q$2:$Q$75)-MIN($Q$2:$Q$75)))</f>
        <v/>
      </c>
      <c r="U27" s="20" t="n">
        <f aca="false">(Assumptions!$B$4*R27+Assumptions!$B$5*S27+IF(T27="",0,Assumptions!$B$6*T27))/(Assumptions!$B$4+Assumptions!$B$5+IF(T27="",0,Assumptions!$B$6))</f>
        <v>39.720695970696</v>
      </c>
      <c r="V27" s="19" t="n">
        <f aca="false">RANK(U27,$U$2:$U$75)+COUNTIF($U$2:U27,U27)-1</f>
        <v>25</v>
      </c>
    </row>
    <row r="28" customFormat="false" ht="15" hidden="false" customHeight="false" outlineLevel="0" collapsed="false">
      <c r="A28" s="19" t="n">
        <v>3344</v>
      </c>
      <c r="B28" s="19" t="s">
        <v>344</v>
      </c>
      <c r="C28" s="19" t="s">
        <v>345</v>
      </c>
      <c r="D28" s="19" t="n">
        <v>27</v>
      </c>
      <c r="E28" s="19" t="n">
        <v>113</v>
      </c>
      <c r="F28" s="19" t="s">
        <v>179</v>
      </c>
      <c r="G28" s="19" t="n">
        <v>26</v>
      </c>
      <c r="H28" s="19" t="s">
        <v>107</v>
      </c>
      <c r="I28" s="19" t="n">
        <v>42</v>
      </c>
      <c r="J28" s="19" t="n">
        <v>0</v>
      </c>
      <c r="K28" s="19" t="n">
        <v>45</v>
      </c>
      <c r="L28" s="19" t="n">
        <f aca="false">SUMIF('Results 2026'!$B$2:$B$149,A28,'Results 2026'!$C$2:$C$149)</f>
        <v>10</v>
      </c>
      <c r="M28" s="19" t="n">
        <f aca="false">SUMIF('Results 2026'!$B$2:$B$149,A28,'Results 2026'!$D$2:$D$149)</f>
        <v>14</v>
      </c>
      <c r="N28" s="19" t="n">
        <f aca="false">SUMIF('Results 2026'!$B$2:$B$149,A28,'Results 2026'!$E$2:$E$149)</f>
        <v>0</v>
      </c>
      <c r="O28" s="29" t="n">
        <f aca="false">IF(ISERROR((L28+0.5*N28)/(L28+M28+N28)),0,(L28+0.5*N28)/(L28+M28+N28))</f>
        <v>0.416666666666667</v>
      </c>
      <c r="P28" s="20" t="n">
        <f aca="false">(G28+I28)/2</f>
        <v>34</v>
      </c>
      <c r="Q28" s="30"/>
      <c r="R28" s="20" t="n">
        <f aca="false">100*(P28-MIN($P$2:$P$75))/(MAX($P$2:$P$75)-MIN($P$2:$P$75))</f>
        <v>42.1428571428571</v>
      </c>
      <c r="S28" s="20" t="n">
        <f aca="false">100*(O28-MIN($O$2:$O$75))/(MAX($O$2:$O$75)-MIN($O$2:$O$75))</f>
        <v>24.1666666666667</v>
      </c>
      <c r="T28" s="20" t="str">
        <f aca="false">IF(OR(Q28="",COUNT($Q$2:$Q$75)&lt;2),"",100*(Q28-MIN($Q$2:$Q$75))/(MAX($Q$2:$Q$75)-MIN($Q$2:$Q$75)))</f>
        <v/>
      </c>
      <c r="U28" s="20" t="n">
        <f aca="false">(Assumptions!$B$4*R28+Assumptions!$B$5*S28+IF(T28="",0,Assumptions!$B$6*T28))/(Assumptions!$B$4+Assumptions!$B$5+IF(T28="",0,Assumptions!$B$6))</f>
        <v>35.2289377289377</v>
      </c>
      <c r="V28" s="19" t="n">
        <f aca="false">RANK(U28,$U$2:$U$75)+COUNTIF($U$2:U28,U28)-1</f>
        <v>33</v>
      </c>
    </row>
    <row r="29" customFormat="false" ht="15" hidden="false" customHeight="false" outlineLevel="0" collapsed="false">
      <c r="A29" s="19" t="n">
        <v>11214</v>
      </c>
      <c r="B29" s="19" t="s">
        <v>346</v>
      </c>
      <c r="C29" s="19" t="s">
        <v>347</v>
      </c>
      <c r="D29" s="19" t="n">
        <v>28</v>
      </c>
      <c r="E29" s="19" t="n">
        <v>112</v>
      </c>
      <c r="F29" s="19" t="s">
        <v>106</v>
      </c>
      <c r="G29" s="19" t="n">
        <v>31</v>
      </c>
      <c r="H29" s="19" t="s">
        <v>110</v>
      </c>
      <c r="I29" s="19" t="n">
        <v>32</v>
      </c>
      <c r="J29" s="19" t="n">
        <v>10</v>
      </c>
      <c r="K29" s="19" t="n">
        <v>39</v>
      </c>
      <c r="L29" s="19" t="n">
        <f aca="false">SUMIF('Results 2026'!$B$2:$B$149,A29,'Results 2026'!$C$2:$C$149)</f>
        <v>9</v>
      </c>
      <c r="M29" s="19" t="n">
        <f aca="false">SUMIF('Results 2026'!$B$2:$B$149,A29,'Results 2026'!$D$2:$D$149)</f>
        <v>15</v>
      </c>
      <c r="N29" s="19" t="n">
        <f aca="false">SUMIF('Results 2026'!$B$2:$B$149,A29,'Results 2026'!$E$2:$E$149)</f>
        <v>0</v>
      </c>
      <c r="O29" s="29" t="n">
        <f aca="false">IF(ISERROR((L29+0.5*N29)/(L29+M29+N29)),0,(L29+0.5*N29)/(L29+M29+N29))</f>
        <v>0.375</v>
      </c>
      <c r="P29" s="20" t="n">
        <f aca="false">(G29+I29)/2</f>
        <v>31.5</v>
      </c>
      <c r="Q29" s="30"/>
      <c r="R29" s="20" t="n">
        <f aca="false">100*(P29-MIN($P$2:$P$75))/(MAX($P$2:$P$75)-MIN($P$2:$P$75))</f>
        <v>38.5714285714286</v>
      </c>
      <c r="S29" s="20" t="n">
        <f aca="false">100*(O29-MIN($O$2:$O$75))/(MAX($O$2:$O$75)-MIN($O$2:$O$75))</f>
        <v>18.75</v>
      </c>
      <c r="T29" s="20" t="str">
        <f aca="false">IF(OR(Q29="",COUNT($Q$2:$Q$75)&lt;2),"",100*(Q29-MIN($Q$2:$Q$75))/(MAX($Q$2:$Q$75)-MIN($Q$2:$Q$75)))</f>
        <v/>
      </c>
      <c r="U29" s="20" t="n">
        <f aca="false">(Assumptions!$B$4*R29+Assumptions!$B$5*S29+IF(T29="",0,Assumptions!$B$6*T29))/(Assumptions!$B$4+Assumptions!$B$5+IF(T29="",0,Assumptions!$B$6))</f>
        <v>30.9478021978022</v>
      </c>
      <c r="V29" s="19" t="n">
        <f aca="false">RANK(U29,$U$2:$U$75)+COUNTIF($U$2:U29,U29)-1</f>
        <v>43</v>
      </c>
    </row>
    <row r="30" customFormat="false" ht="15" hidden="false" customHeight="false" outlineLevel="0" collapsed="false">
      <c r="A30" s="19" t="n">
        <v>9480</v>
      </c>
      <c r="B30" s="19" t="s">
        <v>348</v>
      </c>
      <c r="C30" s="19" t="s">
        <v>349</v>
      </c>
      <c r="D30" s="19" t="n">
        <v>29</v>
      </c>
      <c r="E30" s="19" t="n">
        <v>106</v>
      </c>
      <c r="F30" s="19" t="s">
        <v>106</v>
      </c>
      <c r="G30" s="19" t="n">
        <v>25</v>
      </c>
      <c r="H30" s="19" t="s">
        <v>179</v>
      </c>
      <c r="I30" s="19" t="n">
        <v>27</v>
      </c>
      <c r="J30" s="19" t="n">
        <v>0</v>
      </c>
      <c r="K30" s="19" t="n">
        <v>54</v>
      </c>
      <c r="L30" s="19" t="n">
        <f aca="false">SUMIF('Results 2026'!$B$2:$B$149,A30,'Results 2026'!$C$2:$C$149)</f>
        <v>13</v>
      </c>
      <c r="M30" s="19" t="n">
        <f aca="false">SUMIF('Results 2026'!$B$2:$B$149,A30,'Results 2026'!$D$2:$D$149)</f>
        <v>10</v>
      </c>
      <c r="N30" s="19" t="n">
        <f aca="false">SUMIF('Results 2026'!$B$2:$B$149,A30,'Results 2026'!$E$2:$E$149)</f>
        <v>1</v>
      </c>
      <c r="O30" s="29" t="n">
        <f aca="false">IF(ISERROR((L30+0.5*N30)/(L30+M30+N30)),0,(L30+0.5*N30)/(L30+M30+N30))</f>
        <v>0.5625</v>
      </c>
      <c r="P30" s="20" t="n">
        <f aca="false">(G30+I30)/2</f>
        <v>26</v>
      </c>
      <c r="Q30" s="30"/>
      <c r="R30" s="20" t="n">
        <f aca="false">100*(P30-MIN($P$2:$P$75))/(MAX($P$2:$P$75)-MIN($P$2:$P$75))</f>
        <v>30.7142857142857</v>
      </c>
      <c r="S30" s="20" t="n">
        <f aca="false">100*(O30-MIN($O$2:$O$75))/(MAX($O$2:$O$75)-MIN($O$2:$O$75))</f>
        <v>43.125</v>
      </c>
      <c r="T30" s="20" t="str">
        <f aca="false">IF(OR(Q30="",COUNT($Q$2:$Q$75)&lt;2),"",100*(Q30-MIN($Q$2:$Q$75))/(MAX($Q$2:$Q$75)-MIN($Q$2:$Q$75)))</f>
        <v/>
      </c>
      <c r="U30" s="20" t="n">
        <f aca="false">(Assumptions!$B$4*R30+Assumptions!$B$5*S30+IF(T30="",0,Assumptions!$B$6*T30))/(Assumptions!$B$4+Assumptions!$B$5+IF(T30="",0,Assumptions!$B$6))</f>
        <v>35.4876373626374</v>
      </c>
      <c r="V30" s="19" t="n">
        <f aca="false">RANK(U30,$U$2:$U$75)+COUNTIF($U$2:U30,U30)-1</f>
        <v>32</v>
      </c>
    </row>
    <row r="31" customFormat="false" ht="15" hidden="false" customHeight="false" outlineLevel="0" collapsed="false">
      <c r="A31" s="19" t="n">
        <v>5608</v>
      </c>
      <c r="B31" s="19" t="s">
        <v>350</v>
      </c>
      <c r="C31" s="19" t="s">
        <v>310</v>
      </c>
      <c r="D31" s="19" t="n">
        <v>30</v>
      </c>
      <c r="E31" s="19" t="n">
        <v>105</v>
      </c>
      <c r="F31" s="19" t="s">
        <v>106</v>
      </c>
      <c r="G31" s="19" t="n">
        <v>35</v>
      </c>
      <c r="H31" s="19" t="s">
        <v>179</v>
      </c>
      <c r="I31" s="19" t="n">
        <v>25</v>
      </c>
      <c r="J31" s="19" t="n">
        <v>0</v>
      </c>
      <c r="K31" s="19" t="n">
        <v>45</v>
      </c>
      <c r="L31" s="19" t="n">
        <f aca="false">SUMIF('Results 2026'!$B$2:$B$149,A31,'Results 2026'!$C$2:$C$149)</f>
        <v>9</v>
      </c>
      <c r="M31" s="19" t="n">
        <f aca="false">SUMIF('Results 2026'!$B$2:$B$149,A31,'Results 2026'!$D$2:$D$149)</f>
        <v>14</v>
      </c>
      <c r="N31" s="19" t="n">
        <f aca="false">SUMIF('Results 2026'!$B$2:$B$149,A31,'Results 2026'!$E$2:$E$149)</f>
        <v>0</v>
      </c>
      <c r="O31" s="29" t="n">
        <f aca="false">IF(ISERROR((L31+0.5*N31)/(L31+M31+N31)),0,(L31+0.5*N31)/(L31+M31+N31))</f>
        <v>0.391304347826087</v>
      </c>
      <c r="P31" s="20" t="n">
        <f aca="false">(G31+I31)/2</f>
        <v>30</v>
      </c>
      <c r="Q31" s="30"/>
      <c r="R31" s="20" t="n">
        <f aca="false">100*(P31-MIN($P$2:$P$75))/(MAX($P$2:$P$75)-MIN($P$2:$P$75))</f>
        <v>36.4285714285714</v>
      </c>
      <c r="S31" s="20" t="n">
        <f aca="false">100*(O31-MIN($O$2:$O$75))/(MAX($O$2:$O$75)-MIN($O$2:$O$75))</f>
        <v>20.8695652173913</v>
      </c>
      <c r="T31" s="20" t="str">
        <f aca="false">IF(OR(Q31="",COUNT($Q$2:$Q$75)&lt;2),"",100*(Q31-MIN($Q$2:$Q$75))/(MAX($Q$2:$Q$75)-MIN($Q$2:$Q$75)))</f>
        <v/>
      </c>
      <c r="U31" s="20" t="n">
        <f aca="false">(Assumptions!$B$4*R31+Assumptions!$B$5*S31+IF(T31="",0,Assumptions!$B$6*T31))/(Assumptions!$B$4+Assumptions!$B$5+IF(T31="",0,Assumptions!$B$6))</f>
        <v>30.4443382704252</v>
      </c>
      <c r="V31" s="19" t="n">
        <f aca="false">RANK(U31,$U$2:$U$75)+COUNTIF($U$2:U31,U31)-1</f>
        <v>44</v>
      </c>
    </row>
    <row r="32" customFormat="false" ht="15" hidden="false" customHeight="false" outlineLevel="0" collapsed="false">
      <c r="A32" s="19" t="n">
        <v>6887</v>
      </c>
      <c r="B32" s="19" t="s">
        <v>351</v>
      </c>
      <c r="C32" s="19" t="s">
        <v>70</v>
      </c>
      <c r="D32" s="19" t="n">
        <v>31</v>
      </c>
      <c r="E32" s="19" t="n">
        <v>105</v>
      </c>
      <c r="F32" s="19" t="s">
        <v>106</v>
      </c>
      <c r="G32" s="19" t="n">
        <v>40</v>
      </c>
      <c r="H32" s="19" t="s">
        <v>179</v>
      </c>
      <c r="I32" s="19" t="n">
        <v>23</v>
      </c>
      <c r="J32" s="19" t="n">
        <v>0</v>
      </c>
      <c r="K32" s="19" t="n">
        <v>42</v>
      </c>
      <c r="L32" s="19" t="n">
        <f aca="false">SUMIF('Results 2026'!$B$2:$B$149,A32,'Results 2026'!$C$2:$C$149)</f>
        <v>11</v>
      </c>
      <c r="M32" s="19" t="n">
        <f aca="false">SUMIF('Results 2026'!$B$2:$B$149,A32,'Results 2026'!$D$2:$D$149)</f>
        <v>13</v>
      </c>
      <c r="N32" s="19" t="n">
        <f aca="false">SUMIF('Results 2026'!$B$2:$B$149,A32,'Results 2026'!$E$2:$E$149)</f>
        <v>0</v>
      </c>
      <c r="O32" s="29" t="n">
        <f aca="false">IF(ISERROR((L32+0.5*N32)/(L32+M32+N32)),0,(L32+0.5*N32)/(L32+M32+N32))</f>
        <v>0.458333333333333</v>
      </c>
      <c r="P32" s="20" t="n">
        <f aca="false">(G32+I32)/2</f>
        <v>31.5</v>
      </c>
      <c r="Q32" s="30"/>
      <c r="R32" s="20" t="n">
        <f aca="false">100*(P32-MIN($P$2:$P$75))/(MAX($P$2:$P$75)-MIN($P$2:$P$75))</f>
        <v>38.5714285714286</v>
      </c>
      <c r="S32" s="20" t="n">
        <f aca="false">100*(O32-MIN($O$2:$O$75))/(MAX($O$2:$O$75)-MIN($O$2:$O$75))</f>
        <v>29.5833333333333</v>
      </c>
      <c r="T32" s="20" t="str">
        <f aca="false">IF(OR(Q32="",COUNT($Q$2:$Q$75)&lt;2),"",100*(Q32-MIN($Q$2:$Q$75))/(MAX($Q$2:$Q$75)-MIN($Q$2:$Q$75)))</f>
        <v/>
      </c>
      <c r="U32" s="20" t="n">
        <f aca="false">(Assumptions!$B$4*R32+Assumptions!$B$5*S32+IF(T32="",0,Assumptions!$B$6*T32))/(Assumptions!$B$4+Assumptions!$B$5+IF(T32="",0,Assumptions!$B$6))</f>
        <v>35.1144688644689</v>
      </c>
      <c r="V32" s="19" t="n">
        <f aca="false">RANK(U32,$U$2:$U$75)+COUNTIF($U$2:U32,U32)-1</f>
        <v>35</v>
      </c>
    </row>
    <row r="33" customFormat="false" ht="15" hidden="false" customHeight="false" outlineLevel="0" collapsed="false">
      <c r="A33" s="19" t="n">
        <v>11174</v>
      </c>
      <c r="B33" s="19" t="s">
        <v>352</v>
      </c>
      <c r="C33" s="19" t="s">
        <v>331</v>
      </c>
      <c r="D33" s="19" t="n">
        <v>32</v>
      </c>
      <c r="E33" s="19" t="n">
        <v>104</v>
      </c>
      <c r="F33" s="19" t="s">
        <v>108</v>
      </c>
      <c r="G33" s="19" t="n">
        <v>48</v>
      </c>
      <c r="H33" s="19" t="s">
        <v>107</v>
      </c>
      <c r="I33" s="19" t="n">
        <v>34</v>
      </c>
      <c r="J33" s="19" t="n">
        <v>10</v>
      </c>
      <c r="K33" s="19" t="n">
        <v>12</v>
      </c>
      <c r="L33" s="19" t="n">
        <f aca="false">SUMIF('Results 2026'!$B$2:$B$149,A33,'Results 2026'!$C$2:$C$149)</f>
        <v>12</v>
      </c>
      <c r="M33" s="19" t="n">
        <f aca="false">SUMIF('Results 2026'!$B$2:$B$149,A33,'Results 2026'!$D$2:$D$149)</f>
        <v>12</v>
      </c>
      <c r="N33" s="19" t="n">
        <f aca="false">SUMIF('Results 2026'!$B$2:$B$149,A33,'Results 2026'!$E$2:$E$149)</f>
        <v>0</v>
      </c>
      <c r="O33" s="29" t="n">
        <f aca="false">IF(ISERROR((L33+0.5*N33)/(L33+M33+N33)),0,(L33+0.5*N33)/(L33+M33+N33))</f>
        <v>0.5</v>
      </c>
      <c r="P33" s="20" t="n">
        <f aca="false">(G33+I33)/2</f>
        <v>41</v>
      </c>
      <c r="Q33" s="30"/>
      <c r="R33" s="20" t="n">
        <f aca="false">100*(P33-MIN($P$2:$P$75))/(MAX($P$2:$P$75)-MIN($P$2:$P$75))</f>
        <v>52.1428571428571</v>
      </c>
      <c r="S33" s="20" t="n">
        <f aca="false">100*(O33-MIN($O$2:$O$75))/(MAX($O$2:$O$75)-MIN($O$2:$O$75))</f>
        <v>35</v>
      </c>
      <c r="T33" s="20" t="str">
        <f aca="false">IF(OR(Q33="",COUNT($Q$2:$Q$75)&lt;2),"",100*(Q33-MIN($Q$2:$Q$75))/(MAX($Q$2:$Q$75)-MIN($Q$2:$Q$75)))</f>
        <v/>
      </c>
      <c r="U33" s="20" t="n">
        <f aca="false">(Assumptions!$B$4*R33+Assumptions!$B$5*S33+IF(T33="",0,Assumptions!$B$6*T33))/(Assumptions!$B$4+Assumptions!$B$5+IF(T33="",0,Assumptions!$B$6))</f>
        <v>45.5494505494506</v>
      </c>
      <c r="V33" s="19" t="n">
        <f aca="false">RANK(U33,$U$2:$U$75)+COUNTIF($U$2:U33,U33)-1</f>
        <v>20</v>
      </c>
    </row>
    <row r="34" customFormat="false" ht="15" hidden="false" customHeight="false" outlineLevel="0" collapsed="false">
      <c r="A34" s="19" t="n">
        <v>6772</v>
      </c>
      <c r="B34" s="19" t="s">
        <v>353</v>
      </c>
      <c r="C34" s="19" t="s">
        <v>322</v>
      </c>
      <c r="D34" s="19" t="n">
        <v>33</v>
      </c>
      <c r="E34" s="19" t="n">
        <v>103</v>
      </c>
      <c r="F34" s="19" t="s">
        <v>106</v>
      </c>
      <c r="G34" s="19" t="n">
        <v>41</v>
      </c>
      <c r="H34" s="19" t="s">
        <v>179</v>
      </c>
      <c r="I34" s="19" t="n">
        <v>35</v>
      </c>
      <c r="J34" s="19" t="n">
        <v>0</v>
      </c>
      <c r="K34" s="19" t="n">
        <v>27</v>
      </c>
      <c r="L34" s="19" t="n">
        <f aca="false">SUMIF('Results 2026'!$B$2:$B$149,A34,'Results 2026'!$C$2:$C$149)</f>
        <v>12</v>
      </c>
      <c r="M34" s="19" t="n">
        <f aca="false">SUMIF('Results 2026'!$B$2:$B$149,A34,'Results 2026'!$D$2:$D$149)</f>
        <v>11</v>
      </c>
      <c r="N34" s="19" t="n">
        <f aca="false">SUMIF('Results 2026'!$B$2:$B$149,A34,'Results 2026'!$E$2:$E$149)</f>
        <v>1</v>
      </c>
      <c r="O34" s="29" t="n">
        <f aca="false">IF(ISERROR((L34+0.5*N34)/(L34+M34+N34)),0,(L34+0.5*N34)/(L34+M34+N34))</f>
        <v>0.520833333333333</v>
      </c>
      <c r="P34" s="20" t="n">
        <f aca="false">(G34+I34)/2</f>
        <v>38</v>
      </c>
      <c r="Q34" s="30"/>
      <c r="R34" s="20" t="n">
        <f aca="false">100*(P34-MIN($P$2:$P$75))/(MAX($P$2:$P$75)-MIN($P$2:$P$75))</f>
        <v>47.8571428571429</v>
      </c>
      <c r="S34" s="20" t="n">
        <f aca="false">100*(O34-MIN($O$2:$O$75))/(MAX($O$2:$O$75)-MIN($O$2:$O$75))</f>
        <v>37.7083333333333</v>
      </c>
      <c r="T34" s="20" t="str">
        <f aca="false">IF(OR(Q34="",COUNT($Q$2:$Q$75)&lt;2),"",100*(Q34-MIN($Q$2:$Q$75))/(MAX($Q$2:$Q$75)-MIN($Q$2:$Q$75)))</f>
        <v/>
      </c>
      <c r="U34" s="20" t="n">
        <f aca="false">(Assumptions!$B$4*R34+Assumptions!$B$5*S34+IF(T34="",0,Assumptions!$B$6*T34))/(Assumptions!$B$4+Assumptions!$B$5+IF(T34="",0,Assumptions!$B$6))</f>
        <v>43.9537545787546</v>
      </c>
      <c r="V34" s="19" t="n">
        <f aca="false">RANK(U34,$U$2:$U$75)+COUNTIF($U$2:U34,U34)-1</f>
        <v>23</v>
      </c>
    </row>
    <row r="35" customFormat="false" ht="15" hidden="false" customHeight="false" outlineLevel="0" collapsed="false">
      <c r="A35" s="19" t="n">
        <v>4112</v>
      </c>
      <c r="B35" s="19" t="s">
        <v>354</v>
      </c>
      <c r="C35" s="19" t="s">
        <v>305</v>
      </c>
      <c r="D35" s="19" t="n">
        <v>34</v>
      </c>
      <c r="E35" s="19" t="n">
        <v>103</v>
      </c>
      <c r="F35" s="19" t="s">
        <v>106</v>
      </c>
      <c r="G35" s="19" t="n">
        <v>29</v>
      </c>
      <c r="H35" s="19" t="s">
        <v>179</v>
      </c>
      <c r="I35" s="19" t="n">
        <v>20</v>
      </c>
      <c r="J35" s="19" t="n">
        <v>0</v>
      </c>
      <c r="K35" s="19" t="n">
        <v>54</v>
      </c>
      <c r="L35" s="19" t="n">
        <f aca="false">SUMIF('Results 2026'!$B$2:$B$149,A35,'Results 2026'!$C$2:$C$149)</f>
        <v>12</v>
      </c>
      <c r="M35" s="19" t="n">
        <f aca="false">SUMIF('Results 2026'!$B$2:$B$149,A35,'Results 2026'!$D$2:$D$149)</f>
        <v>12</v>
      </c>
      <c r="N35" s="19" t="n">
        <f aca="false">SUMIF('Results 2026'!$B$2:$B$149,A35,'Results 2026'!$E$2:$E$149)</f>
        <v>0</v>
      </c>
      <c r="O35" s="29" t="n">
        <f aca="false">IF(ISERROR((L35+0.5*N35)/(L35+M35+N35)),0,(L35+0.5*N35)/(L35+M35+N35))</f>
        <v>0.5</v>
      </c>
      <c r="P35" s="20" t="n">
        <f aca="false">(G35+I35)/2</f>
        <v>24.5</v>
      </c>
      <c r="Q35" s="30"/>
      <c r="R35" s="20" t="n">
        <f aca="false">100*(P35-MIN($P$2:$P$75))/(MAX($P$2:$P$75)-MIN($P$2:$P$75))</f>
        <v>28.5714285714286</v>
      </c>
      <c r="S35" s="20" t="n">
        <f aca="false">100*(O35-MIN($O$2:$O$75))/(MAX($O$2:$O$75)-MIN($O$2:$O$75))</f>
        <v>35</v>
      </c>
      <c r="T35" s="20" t="str">
        <f aca="false">IF(OR(Q35="",COUNT($Q$2:$Q$75)&lt;2),"",100*(Q35-MIN($Q$2:$Q$75))/(MAX($Q$2:$Q$75)-MIN($Q$2:$Q$75)))</f>
        <v/>
      </c>
      <c r="U35" s="20" t="n">
        <f aca="false">(Assumptions!$B$4*R35+Assumptions!$B$5*S35+IF(T35="",0,Assumptions!$B$6*T35))/(Assumptions!$B$4+Assumptions!$B$5+IF(T35="",0,Assumptions!$B$6))</f>
        <v>31.043956043956</v>
      </c>
      <c r="V35" s="19" t="n">
        <f aca="false">RANK(U35,$U$2:$U$75)+COUNTIF($U$2:U35,U35)-1</f>
        <v>42</v>
      </c>
    </row>
    <row r="36" customFormat="false" ht="15" hidden="false" customHeight="false" outlineLevel="0" collapsed="false">
      <c r="A36" s="19" t="n">
        <v>5900</v>
      </c>
      <c r="B36" s="19" t="s">
        <v>355</v>
      </c>
      <c r="C36" s="19" t="s">
        <v>70</v>
      </c>
      <c r="D36" s="19" t="n">
        <v>35</v>
      </c>
      <c r="E36" s="19" t="n">
        <v>102</v>
      </c>
      <c r="F36" s="19" t="s">
        <v>106</v>
      </c>
      <c r="G36" s="19" t="n">
        <v>43</v>
      </c>
      <c r="H36" s="19" t="s">
        <v>179</v>
      </c>
      <c r="I36" s="19" t="n">
        <v>38</v>
      </c>
      <c r="J36" s="19" t="n">
        <v>0</v>
      </c>
      <c r="K36" s="19" t="n">
        <v>21</v>
      </c>
      <c r="L36" s="19" t="n">
        <f aca="false">SUMIF('Results 2026'!$B$2:$B$149,A36,'Results 2026'!$C$2:$C$149)</f>
        <v>13</v>
      </c>
      <c r="M36" s="19" t="n">
        <f aca="false">SUMIF('Results 2026'!$B$2:$B$149,A36,'Results 2026'!$D$2:$D$149)</f>
        <v>11</v>
      </c>
      <c r="N36" s="19" t="n">
        <f aca="false">SUMIF('Results 2026'!$B$2:$B$149,A36,'Results 2026'!$E$2:$E$149)</f>
        <v>0</v>
      </c>
      <c r="O36" s="29" t="n">
        <f aca="false">IF(ISERROR((L36+0.5*N36)/(L36+M36+N36)),0,(L36+0.5*N36)/(L36+M36+N36))</f>
        <v>0.541666666666667</v>
      </c>
      <c r="P36" s="20" t="n">
        <f aca="false">(G36+I36)/2</f>
        <v>40.5</v>
      </c>
      <c r="Q36" s="30"/>
      <c r="R36" s="20" t="n">
        <f aca="false">100*(P36-MIN($P$2:$P$75))/(MAX($P$2:$P$75)-MIN($P$2:$P$75))</f>
        <v>51.4285714285714</v>
      </c>
      <c r="S36" s="20" t="n">
        <f aca="false">100*(O36-MIN($O$2:$O$75))/(MAX($O$2:$O$75)-MIN($O$2:$O$75))</f>
        <v>40.4166666666667</v>
      </c>
      <c r="T36" s="20" t="str">
        <f aca="false">IF(OR(Q36="",COUNT($Q$2:$Q$75)&lt;2),"",100*(Q36-MIN($Q$2:$Q$75))/(MAX($Q$2:$Q$75)-MIN($Q$2:$Q$75)))</f>
        <v/>
      </c>
      <c r="U36" s="20" t="n">
        <f aca="false">(Assumptions!$B$4*R36+Assumptions!$B$5*S36+IF(T36="",0,Assumptions!$B$6*T36))/(Assumptions!$B$4+Assumptions!$B$5+IF(T36="",0,Assumptions!$B$6))</f>
        <v>47.1932234432234</v>
      </c>
      <c r="V36" s="19" t="n">
        <f aca="false">RANK(U36,$U$2:$U$75)+COUNTIF($U$2:U36,U36)-1</f>
        <v>19</v>
      </c>
    </row>
    <row r="37" customFormat="false" ht="15" hidden="false" customHeight="false" outlineLevel="0" collapsed="false">
      <c r="A37" s="19" t="n">
        <v>6340</v>
      </c>
      <c r="B37" s="19" t="s">
        <v>356</v>
      </c>
      <c r="C37" s="19" t="s">
        <v>322</v>
      </c>
      <c r="D37" s="19" t="n">
        <v>36</v>
      </c>
      <c r="E37" s="19" t="n">
        <v>101</v>
      </c>
      <c r="F37" s="19" t="s">
        <v>108</v>
      </c>
      <c r="G37" s="19" t="n">
        <v>34</v>
      </c>
      <c r="H37" s="19" t="s">
        <v>107</v>
      </c>
      <c r="I37" s="19" t="n">
        <v>43</v>
      </c>
      <c r="J37" s="19" t="n">
        <v>0</v>
      </c>
      <c r="K37" s="19" t="n">
        <v>24</v>
      </c>
      <c r="L37" s="19" t="n">
        <f aca="false">SUMIF('Results 2026'!$B$2:$B$149,A37,'Results 2026'!$C$2:$C$149)</f>
        <v>13</v>
      </c>
      <c r="M37" s="19" t="n">
        <f aca="false">SUMIF('Results 2026'!$B$2:$B$149,A37,'Results 2026'!$D$2:$D$149)</f>
        <v>11</v>
      </c>
      <c r="N37" s="19" t="n">
        <f aca="false">SUMIF('Results 2026'!$B$2:$B$149,A37,'Results 2026'!$E$2:$E$149)</f>
        <v>0</v>
      </c>
      <c r="O37" s="29" t="n">
        <f aca="false">IF(ISERROR((L37+0.5*N37)/(L37+M37+N37)),0,(L37+0.5*N37)/(L37+M37+N37))</f>
        <v>0.541666666666667</v>
      </c>
      <c r="P37" s="20" t="n">
        <f aca="false">(G37+I37)/2</f>
        <v>38.5</v>
      </c>
      <c r="Q37" s="30"/>
      <c r="R37" s="20" t="n">
        <f aca="false">100*(P37-MIN($P$2:$P$75))/(MAX($P$2:$P$75)-MIN($P$2:$P$75))</f>
        <v>48.5714285714286</v>
      </c>
      <c r="S37" s="20" t="n">
        <f aca="false">100*(O37-MIN($O$2:$O$75))/(MAX($O$2:$O$75)-MIN($O$2:$O$75))</f>
        <v>40.4166666666667</v>
      </c>
      <c r="T37" s="20" t="str">
        <f aca="false">IF(OR(Q37="",COUNT($Q$2:$Q$75)&lt;2),"",100*(Q37-MIN($Q$2:$Q$75))/(MAX($Q$2:$Q$75)-MIN($Q$2:$Q$75)))</f>
        <v/>
      </c>
      <c r="U37" s="20" t="n">
        <f aca="false">(Assumptions!$B$4*R37+Assumptions!$B$5*S37+IF(T37="",0,Assumptions!$B$6*T37))/(Assumptions!$B$4+Assumptions!$B$5+IF(T37="",0,Assumptions!$B$6))</f>
        <v>45.4349816849817</v>
      </c>
      <c r="V37" s="19" t="n">
        <f aca="false">RANK(U37,$U$2:$U$75)+COUNTIF($U$2:U37,U37)-1</f>
        <v>21</v>
      </c>
    </row>
    <row r="38" customFormat="false" ht="15" hidden="false" customHeight="false" outlineLevel="0" collapsed="false">
      <c r="A38" s="19" t="n">
        <v>3329</v>
      </c>
      <c r="B38" s="19" t="s">
        <v>357</v>
      </c>
      <c r="C38" s="19" t="s">
        <v>358</v>
      </c>
      <c r="D38" s="19" t="n">
        <v>37</v>
      </c>
      <c r="E38" s="19" t="n">
        <v>100</v>
      </c>
      <c r="F38" s="19" t="s">
        <v>106</v>
      </c>
      <c r="G38" s="19" t="n">
        <v>34</v>
      </c>
      <c r="H38" s="19" t="s">
        <v>179</v>
      </c>
      <c r="I38" s="19" t="n">
        <v>30</v>
      </c>
      <c r="J38" s="19" t="n">
        <v>0</v>
      </c>
      <c r="K38" s="19" t="n">
        <v>36</v>
      </c>
      <c r="L38" s="19" t="n">
        <f aca="false">SUMIF('Results 2026'!$B$2:$B$149,A38,'Results 2026'!$C$2:$C$149)</f>
        <v>13</v>
      </c>
      <c r="M38" s="19" t="n">
        <f aca="false">SUMIF('Results 2026'!$B$2:$B$149,A38,'Results 2026'!$D$2:$D$149)</f>
        <v>11</v>
      </c>
      <c r="N38" s="19" t="n">
        <f aca="false">SUMIF('Results 2026'!$B$2:$B$149,A38,'Results 2026'!$E$2:$E$149)</f>
        <v>0</v>
      </c>
      <c r="O38" s="29" t="n">
        <f aca="false">IF(ISERROR((L38+0.5*N38)/(L38+M38+N38)),0,(L38+0.5*N38)/(L38+M38+N38))</f>
        <v>0.541666666666667</v>
      </c>
      <c r="P38" s="20" t="n">
        <f aca="false">(G38+I38)/2</f>
        <v>32</v>
      </c>
      <c r="Q38" s="30"/>
      <c r="R38" s="20" t="n">
        <f aca="false">100*(P38-MIN($P$2:$P$75))/(MAX($P$2:$P$75)-MIN($P$2:$P$75))</f>
        <v>39.2857142857143</v>
      </c>
      <c r="S38" s="20" t="n">
        <f aca="false">100*(O38-MIN($O$2:$O$75))/(MAX($O$2:$O$75)-MIN($O$2:$O$75))</f>
        <v>40.4166666666667</v>
      </c>
      <c r="T38" s="20" t="str">
        <f aca="false">IF(OR(Q38="",COUNT($Q$2:$Q$75)&lt;2),"",100*(Q38-MIN($Q$2:$Q$75))/(MAX($Q$2:$Q$75)-MIN($Q$2:$Q$75)))</f>
        <v/>
      </c>
      <c r="U38" s="20" t="n">
        <f aca="false">(Assumptions!$B$4*R38+Assumptions!$B$5*S38+IF(T38="",0,Assumptions!$B$6*T38))/(Assumptions!$B$4+Assumptions!$B$5+IF(T38="",0,Assumptions!$B$6))</f>
        <v>39.720695970696</v>
      </c>
      <c r="V38" s="19" t="n">
        <f aca="false">RANK(U38,$U$2:$U$75)+COUNTIF($U$2:U38,U38)-1</f>
        <v>26</v>
      </c>
    </row>
    <row r="39" customFormat="false" ht="15" hidden="false" customHeight="false" outlineLevel="0" collapsed="false">
      <c r="A39" s="19" t="n">
        <v>10482</v>
      </c>
      <c r="B39" s="19" t="s">
        <v>359</v>
      </c>
      <c r="C39" s="19" t="s">
        <v>360</v>
      </c>
      <c r="D39" s="19" t="n">
        <v>38</v>
      </c>
      <c r="E39" s="19" t="n">
        <v>91</v>
      </c>
      <c r="F39" s="19" t="s">
        <v>108</v>
      </c>
      <c r="G39" s="19" t="n">
        <v>9</v>
      </c>
      <c r="H39" s="19" t="s">
        <v>107</v>
      </c>
      <c r="I39" s="19" t="n">
        <v>41</v>
      </c>
      <c r="J39" s="19" t="n">
        <v>5</v>
      </c>
      <c r="K39" s="19" t="n">
        <v>36</v>
      </c>
      <c r="L39" s="19" t="n">
        <f aca="false">SUMIF('Results 2026'!$B$2:$B$149,A39,'Results 2026'!$C$2:$C$149)</f>
        <v>13</v>
      </c>
      <c r="M39" s="19" t="n">
        <f aca="false">SUMIF('Results 2026'!$B$2:$B$149,A39,'Results 2026'!$D$2:$D$149)</f>
        <v>9</v>
      </c>
      <c r="N39" s="19" t="n">
        <f aca="false">SUMIF('Results 2026'!$B$2:$B$149,A39,'Results 2026'!$E$2:$E$149)</f>
        <v>1</v>
      </c>
      <c r="O39" s="29" t="n">
        <f aca="false">IF(ISERROR((L39+0.5*N39)/(L39+M39+N39)),0,(L39+0.5*N39)/(L39+M39+N39))</f>
        <v>0.586956521739131</v>
      </c>
      <c r="P39" s="20" t="n">
        <f aca="false">(G39+I39)/2</f>
        <v>25</v>
      </c>
      <c r="Q39" s="30"/>
      <c r="R39" s="20" t="n">
        <f aca="false">100*(P39-MIN($P$2:$P$75))/(MAX($P$2:$P$75)-MIN($P$2:$P$75))</f>
        <v>29.2857142857143</v>
      </c>
      <c r="S39" s="20" t="n">
        <f aca="false">100*(O39-MIN($O$2:$O$75))/(MAX($O$2:$O$75)-MIN($O$2:$O$75))</f>
        <v>46.304347826087</v>
      </c>
      <c r="T39" s="20" t="str">
        <f aca="false">IF(OR(Q39="",COUNT($Q$2:$Q$75)&lt;2),"",100*(Q39-MIN($Q$2:$Q$75))/(MAX($Q$2:$Q$75)-MIN($Q$2:$Q$75)))</f>
        <v/>
      </c>
      <c r="U39" s="20" t="n">
        <f aca="false">(Assumptions!$B$4*R39+Assumptions!$B$5*S39+IF(T39="",0,Assumptions!$B$6*T39))/(Assumptions!$B$4+Assumptions!$B$5+IF(T39="",0,Assumptions!$B$6))</f>
        <v>35.831342570473</v>
      </c>
      <c r="V39" s="19" t="n">
        <f aca="false">RANK(U39,$U$2:$U$75)+COUNTIF($U$2:U39,U39)-1</f>
        <v>31</v>
      </c>
    </row>
    <row r="40" customFormat="false" ht="15" hidden="false" customHeight="false" outlineLevel="0" collapsed="false">
      <c r="A40" s="19" t="n">
        <v>3815</v>
      </c>
      <c r="B40" s="19" t="s">
        <v>361</v>
      </c>
      <c r="C40" s="19" t="s">
        <v>305</v>
      </c>
      <c r="D40" s="19" t="n">
        <v>39</v>
      </c>
      <c r="E40" s="19" t="n">
        <v>88</v>
      </c>
      <c r="F40" s="19" t="s">
        <v>179</v>
      </c>
      <c r="G40" s="19" t="n">
        <v>28</v>
      </c>
      <c r="H40" s="19" t="s">
        <v>107</v>
      </c>
      <c r="I40" s="19" t="n">
        <v>45</v>
      </c>
      <c r="J40" s="19" t="n">
        <v>0</v>
      </c>
      <c r="K40" s="19" t="n">
        <v>15</v>
      </c>
      <c r="L40" s="19" t="n">
        <f aca="false">SUMIF('Results 2026'!$B$2:$B$149,A40,'Results 2026'!$C$2:$C$149)</f>
        <v>8</v>
      </c>
      <c r="M40" s="19" t="n">
        <f aca="false">SUMIF('Results 2026'!$B$2:$B$149,A40,'Results 2026'!$D$2:$D$149)</f>
        <v>16</v>
      </c>
      <c r="N40" s="19" t="n">
        <f aca="false">SUMIF('Results 2026'!$B$2:$B$149,A40,'Results 2026'!$E$2:$E$149)</f>
        <v>0</v>
      </c>
      <c r="O40" s="29" t="n">
        <f aca="false">IF(ISERROR((L40+0.5*N40)/(L40+M40+N40)),0,(L40+0.5*N40)/(L40+M40+N40))</f>
        <v>0.333333333333333</v>
      </c>
      <c r="P40" s="20" t="n">
        <f aca="false">(G40+I40)/2</f>
        <v>36.5</v>
      </c>
      <c r="Q40" s="30"/>
      <c r="R40" s="20" t="n">
        <f aca="false">100*(P40-MIN($P$2:$P$75))/(MAX($P$2:$P$75)-MIN($P$2:$P$75))</f>
        <v>45.7142857142857</v>
      </c>
      <c r="S40" s="20" t="n">
        <f aca="false">100*(O40-MIN($O$2:$O$75))/(MAX($O$2:$O$75)-MIN($O$2:$O$75))</f>
        <v>13.3333333333333</v>
      </c>
      <c r="T40" s="20" t="str">
        <f aca="false">IF(OR(Q40="",COUNT($Q$2:$Q$75)&lt;2),"",100*(Q40-MIN($Q$2:$Q$75))/(MAX($Q$2:$Q$75)-MIN($Q$2:$Q$75)))</f>
        <v/>
      </c>
      <c r="U40" s="20" t="n">
        <f aca="false">(Assumptions!$B$4*R40+Assumptions!$B$5*S40+IF(T40="",0,Assumptions!$B$6*T40))/(Assumptions!$B$4+Assumptions!$B$5+IF(T40="",0,Assumptions!$B$6))</f>
        <v>33.2600732600733</v>
      </c>
      <c r="V40" s="19" t="n">
        <f aca="false">RANK(U40,$U$2:$U$75)+COUNTIF($U$2:U40,U40)-1</f>
        <v>39</v>
      </c>
    </row>
    <row r="41" customFormat="false" ht="15" hidden="false" customHeight="false" outlineLevel="0" collapsed="false">
      <c r="A41" s="19" t="n">
        <v>5219</v>
      </c>
      <c r="B41" s="19" t="s">
        <v>362</v>
      </c>
      <c r="C41" s="19" t="s">
        <v>74</v>
      </c>
      <c r="D41" s="19" t="n">
        <v>40</v>
      </c>
      <c r="E41" s="19" t="n">
        <v>88</v>
      </c>
      <c r="F41" s="19" t="s">
        <v>106</v>
      </c>
      <c r="G41" s="19" t="n">
        <v>27</v>
      </c>
      <c r="H41" s="19" t="s">
        <v>107</v>
      </c>
      <c r="I41" s="19" t="n">
        <v>22</v>
      </c>
      <c r="J41" s="19" t="n">
        <v>0</v>
      </c>
      <c r="K41" s="19" t="n">
        <v>39</v>
      </c>
      <c r="L41" s="19" t="n">
        <f aca="false">SUMIF('Results 2026'!$B$2:$B$149,A41,'Results 2026'!$C$2:$C$149)</f>
        <v>14</v>
      </c>
      <c r="M41" s="19" t="n">
        <f aca="false">SUMIF('Results 2026'!$B$2:$B$149,A41,'Results 2026'!$D$2:$D$149)</f>
        <v>10</v>
      </c>
      <c r="N41" s="19" t="n">
        <f aca="false">SUMIF('Results 2026'!$B$2:$B$149,A41,'Results 2026'!$E$2:$E$149)</f>
        <v>0</v>
      </c>
      <c r="O41" s="29" t="n">
        <f aca="false">IF(ISERROR((L41+0.5*N41)/(L41+M41+N41)),0,(L41+0.5*N41)/(L41+M41+N41))</f>
        <v>0.583333333333333</v>
      </c>
      <c r="P41" s="20" t="n">
        <f aca="false">(G41+I41)/2</f>
        <v>24.5</v>
      </c>
      <c r="Q41" s="30"/>
      <c r="R41" s="20" t="n">
        <f aca="false">100*(P41-MIN($P$2:$P$75))/(MAX($P$2:$P$75)-MIN($P$2:$P$75))</f>
        <v>28.5714285714286</v>
      </c>
      <c r="S41" s="20" t="n">
        <f aca="false">100*(O41-MIN($O$2:$O$75))/(MAX($O$2:$O$75)-MIN($O$2:$O$75))</f>
        <v>45.8333333333333</v>
      </c>
      <c r="T41" s="20" t="str">
        <f aca="false">IF(OR(Q41="",COUNT($Q$2:$Q$75)&lt;2),"",100*(Q41-MIN($Q$2:$Q$75))/(MAX($Q$2:$Q$75)-MIN($Q$2:$Q$75)))</f>
        <v/>
      </c>
      <c r="U41" s="20" t="n">
        <f aca="false">(Assumptions!$B$4*R41+Assumptions!$B$5*S41+IF(T41="",0,Assumptions!$B$6*T41))/(Assumptions!$B$4+Assumptions!$B$5+IF(T41="",0,Assumptions!$B$6))</f>
        <v>35.2106227106227</v>
      </c>
      <c r="V41" s="19" t="n">
        <f aca="false">RANK(U41,$U$2:$U$75)+COUNTIF($U$2:U41,U41)-1</f>
        <v>34</v>
      </c>
    </row>
    <row r="42" customFormat="false" ht="15" hidden="false" customHeight="false" outlineLevel="0" collapsed="false">
      <c r="A42" s="19" t="n">
        <v>6905</v>
      </c>
      <c r="B42" s="19" t="s">
        <v>363</v>
      </c>
      <c r="C42" s="19" t="s">
        <v>331</v>
      </c>
      <c r="D42" s="19" t="n">
        <v>41</v>
      </c>
      <c r="E42" s="19" t="n">
        <v>87</v>
      </c>
      <c r="F42" s="19" t="s">
        <v>106</v>
      </c>
      <c r="G42" s="19" t="n">
        <v>29</v>
      </c>
      <c r="H42" s="19" t="s">
        <v>110</v>
      </c>
      <c r="I42" s="19" t="n">
        <v>37</v>
      </c>
      <c r="J42" s="19" t="n">
        <v>0</v>
      </c>
      <c r="K42" s="19" t="n">
        <v>21</v>
      </c>
      <c r="L42" s="19" t="n">
        <f aca="false">SUMIF('Results 2026'!$B$2:$B$149,A42,'Results 2026'!$C$2:$C$149)</f>
        <v>7</v>
      </c>
      <c r="M42" s="19" t="n">
        <f aca="false">SUMIF('Results 2026'!$B$2:$B$149,A42,'Results 2026'!$D$2:$D$149)</f>
        <v>15</v>
      </c>
      <c r="N42" s="19" t="n">
        <f aca="false">SUMIF('Results 2026'!$B$2:$B$149,A42,'Results 2026'!$E$2:$E$149)</f>
        <v>0</v>
      </c>
      <c r="O42" s="29" t="n">
        <f aca="false">IF(ISERROR((L42+0.5*N42)/(L42+M42+N42)),0,(L42+0.5*N42)/(L42+M42+N42))</f>
        <v>0.318181818181818</v>
      </c>
      <c r="P42" s="20" t="n">
        <f aca="false">(G42+I42)/2</f>
        <v>33</v>
      </c>
      <c r="Q42" s="30"/>
      <c r="R42" s="20" t="n">
        <f aca="false">100*(P42-MIN($P$2:$P$75))/(MAX($P$2:$P$75)-MIN($P$2:$P$75))</f>
        <v>40.7142857142857</v>
      </c>
      <c r="S42" s="20" t="n">
        <f aca="false">100*(O42-MIN($O$2:$O$75))/(MAX($O$2:$O$75)-MIN($O$2:$O$75))</f>
        <v>11.3636363636364</v>
      </c>
      <c r="T42" s="20" t="str">
        <f aca="false">IF(OR(Q42="",COUNT($Q$2:$Q$75)&lt;2),"",100*(Q42-MIN($Q$2:$Q$75))/(MAX($Q$2:$Q$75)-MIN($Q$2:$Q$75)))</f>
        <v/>
      </c>
      <c r="U42" s="20" t="n">
        <f aca="false">(Assumptions!$B$4*R42+Assumptions!$B$5*S42+IF(T42="",0,Assumptions!$B$6*T42))/(Assumptions!$B$4+Assumptions!$B$5+IF(T42="",0,Assumptions!$B$6))</f>
        <v>29.4255744255744</v>
      </c>
      <c r="V42" s="19" t="n">
        <f aca="false">RANK(U42,$U$2:$U$75)+COUNTIF($U$2:U42,U42)-1</f>
        <v>45</v>
      </c>
    </row>
    <row r="43" customFormat="false" ht="15" hidden="false" customHeight="false" outlineLevel="0" collapsed="false">
      <c r="A43" s="19" t="n">
        <v>9522</v>
      </c>
      <c r="B43" s="19" t="s">
        <v>364</v>
      </c>
      <c r="C43" s="19" t="s">
        <v>349</v>
      </c>
      <c r="D43" s="19" t="n">
        <v>42</v>
      </c>
      <c r="E43" s="19" t="n">
        <v>80</v>
      </c>
      <c r="F43" s="19" t="s">
        <v>108</v>
      </c>
      <c r="G43" s="19" t="n">
        <v>31</v>
      </c>
      <c r="H43" s="19" t="s">
        <v>107</v>
      </c>
      <c r="I43" s="19" t="n">
        <v>22</v>
      </c>
      <c r="J43" s="19" t="n">
        <v>0</v>
      </c>
      <c r="K43" s="19" t="n">
        <v>27</v>
      </c>
      <c r="L43" s="19" t="n">
        <f aca="false">SUMIF('Results 2026'!$B$2:$B$149,A43,'Results 2026'!$C$2:$C$149)</f>
        <v>12</v>
      </c>
      <c r="M43" s="19" t="n">
        <f aca="false">SUMIF('Results 2026'!$B$2:$B$149,A43,'Results 2026'!$D$2:$D$149)</f>
        <v>10</v>
      </c>
      <c r="N43" s="19" t="n">
        <f aca="false">SUMIF('Results 2026'!$B$2:$B$149,A43,'Results 2026'!$E$2:$E$149)</f>
        <v>2</v>
      </c>
      <c r="O43" s="29" t="n">
        <f aca="false">IF(ISERROR((L43+0.5*N43)/(L43+M43+N43)),0,(L43+0.5*N43)/(L43+M43+N43))</f>
        <v>0.541666666666667</v>
      </c>
      <c r="P43" s="20" t="n">
        <f aca="false">(G43+I43)/2</f>
        <v>26.5</v>
      </c>
      <c r="Q43" s="30"/>
      <c r="R43" s="20" t="n">
        <f aca="false">100*(P43-MIN($P$2:$P$75))/(MAX($P$2:$P$75)-MIN($P$2:$P$75))</f>
        <v>31.4285714285714</v>
      </c>
      <c r="S43" s="20" t="n">
        <f aca="false">100*(O43-MIN($O$2:$O$75))/(MAX($O$2:$O$75)-MIN($O$2:$O$75))</f>
        <v>40.4166666666667</v>
      </c>
      <c r="T43" s="20" t="str">
        <f aca="false">IF(OR(Q43="",COUNT($Q$2:$Q$75)&lt;2),"",100*(Q43-MIN($Q$2:$Q$75))/(MAX($Q$2:$Q$75)-MIN($Q$2:$Q$75)))</f>
        <v/>
      </c>
      <c r="U43" s="20" t="n">
        <f aca="false">(Assumptions!$B$4*R43+Assumptions!$B$5*S43+IF(T43="",0,Assumptions!$B$6*T43))/(Assumptions!$B$4+Assumptions!$B$5+IF(T43="",0,Assumptions!$B$6))</f>
        <v>34.8855311355311</v>
      </c>
      <c r="V43" s="19" t="n">
        <f aca="false">RANK(U43,$U$2:$U$75)+COUNTIF($U$2:U43,U43)-1</f>
        <v>37</v>
      </c>
    </row>
    <row r="44" customFormat="false" ht="15" hidden="false" customHeight="false" outlineLevel="0" collapsed="false">
      <c r="A44" s="19" t="n">
        <v>8577</v>
      </c>
      <c r="B44" s="19" t="s">
        <v>365</v>
      </c>
      <c r="C44" s="19" t="s">
        <v>322</v>
      </c>
      <c r="D44" s="19" t="n">
        <v>43</v>
      </c>
      <c r="E44" s="19" t="n">
        <v>79</v>
      </c>
      <c r="F44" s="19" t="s">
        <v>108</v>
      </c>
      <c r="G44" s="19" t="n">
        <v>23</v>
      </c>
      <c r="H44" s="19" t="s">
        <v>107</v>
      </c>
      <c r="I44" s="19" t="n">
        <v>23</v>
      </c>
      <c r="J44" s="19" t="n">
        <v>0</v>
      </c>
      <c r="K44" s="19" t="n">
        <v>33</v>
      </c>
      <c r="L44" s="19" t="n">
        <f aca="false">SUMIF('Results 2026'!$B$2:$B$149,A44,'Results 2026'!$C$2:$C$149)</f>
        <v>10</v>
      </c>
      <c r="M44" s="19" t="n">
        <f aca="false">SUMIF('Results 2026'!$B$2:$B$149,A44,'Results 2026'!$D$2:$D$149)</f>
        <v>11</v>
      </c>
      <c r="N44" s="19" t="n">
        <f aca="false">SUMIF('Results 2026'!$B$2:$B$149,A44,'Results 2026'!$E$2:$E$149)</f>
        <v>1</v>
      </c>
      <c r="O44" s="29" t="n">
        <f aca="false">IF(ISERROR((L44+0.5*N44)/(L44+M44+N44)),0,(L44+0.5*N44)/(L44+M44+N44))</f>
        <v>0.477272727272727</v>
      </c>
      <c r="P44" s="20" t="n">
        <f aca="false">(G44+I44)/2</f>
        <v>23</v>
      </c>
      <c r="Q44" s="30"/>
      <c r="R44" s="20" t="n">
        <f aca="false">100*(P44-MIN($P$2:$P$75))/(MAX($P$2:$P$75)-MIN($P$2:$P$75))</f>
        <v>26.4285714285714</v>
      </c>
      <c r="S44" s="20" t="n">
        <f aca="false">100*(O44-MIN($O$2:$O$75))/(MAX($O$2:$O$75)-MIN($O$2:$O$75))</f>
        <v>32.0454545454546</v>
      </c>
      <c r="T44" s="20" t="str">
        <f aca="false">IF(OR(Q44="",COUNT($Q$2:$Q$75)&lt;2),"",100*(Q44-MIN($Q$2:$Q$75))/(MAX($Q$2:$Q$75)-MIN($Q$2:$Q$75)))</f>
        <v/>
      </c>
      <c r="U44" s="20" t="n">
        <f aca="false">(Assumptions!$B$4*R44+Assumptions!$B$5*S44+IF(T44="",0,Assumptions!$B$6*T44))/(Assumptions!$B$4+Assumptions!$B$5+IF(T44="",0,Assumptions!$B$6))</f>
        <v>28.5889110889111</v>
      </c>
      <c r="V44" s="19" t="n">
        <f aca="false">RANK(U44,$U$2:$U$75)+COUNTIF($U$2:U44,U44)-1</f>
        <v>47</v>
      </c>
    </row>
    <row r="45" customFormat="false" ht="15" hidden="false" customHeight="false" outlineLevel="0" collapsed="false">
      <c r="A45" s="19" t="n">
        <v>3091</v>
      </c>
      <c r="B45" s="19" t="s">
        <v>366</v>
      </c>
      <c r="C45" s="19" t="s">
        <v>322</v>
      </c>
      <c r="D45" s="19" t="n">
        <v>44</v>
      </c>
      <c r="E45" s="19" t="n">
        <v>77</v>
      </c>
      <c r="F45" s="19" t="s">
        <v>108</v>
      </c>
      <c r="G45" s="19" t="n">
        <v>29</v>
      </c>
      <c r="H45" s="19" t="s">
        <v>110</v>
      </c>
      <c r="I45" s="19" t="n">
        <v>27</v>
      </c>
      <c r="J45" s="19" t="n">
        <v>0</v>
      </c>
      <c r="K45" s="19" t="n">
        <v>21</v>
      </c>
      <c r="L45" s="19" t="n">
        <f aca="false">SUMIF('Results 2026'!$B$2:$B$149,A45,'Results 2026'!$C$2:$C$149)</f>
        <v>13</v>
      </c>
      <c r="M45" s="19" t="n">
        <f aca="false">SUMIF('Results 2026'!$B$2:$B$149,A45,'Results 2026'!$D$2:$D$149)</f>
        <v>9</v>
      </c>
      <c r="N45" s="19" t="n">
        <f aca="false">SUMIF('Results 2026'!$B$2:$B$149,A45,'Results 2026'!$E$2:$E$149)</f>
        <v>0</v>
      </c>
      <c r="O45" s="29" t="n">
        <f aca="false">IF(ISERROR((L45+0.5*N45)/(L45+M45+N45)),0,(L45+0.5*N45)/(L45+M45+N45))</f>
        <v>0.590909090909091</v>
      </c>
      <c r="P45" s="20" t="n">
        <f aca="false">(G45+I45)/2</f>
        <v>28</v>
      </c>
      <c r="Q45" s="30"/>
      <c r="R45" s="20" t="n">
        <f aca="false">100*(P45-MIN($P$2:$P$75))/(MAX($P$2:$P$75)-MIN($P$2:$P$75))</f>
        <v>33.5714285714286</v>
      </c>
      <c r="S45" s="20" t="n">
        <f aca="false">100*(O45-MIN($O$2:$O$75))/(MAX($O$2:$O$75)-MIN($O$2:$O$75))</f>
        <v>46.8181818181818</v>
      </c>
      <c r="T45" s="20" t="str">
        <f aca="false">IF(OR(Q45="",COUNT($Q$2:$Q$75)&lt;2),"",100*(Q45-MIN($Q$2:$Q$75))/(MAX($Q$2:$Q$75)-MIN($Q$2:$Q$75)))</f>
        <v/>
      </c>
      <c r="U45" s="20" t="n">
        <f aca="false">(Assumptions!$B$4*R45+Assumptions!$B$5*S45+IF(T45="",0,Assumptions!$B$6*T45))/(Assumptions!$B$4+Assumptions!$B$5+IF(T45="",0,Assumptions!$B$6))</f>
        <v>38.6663336663337</v>
      </c>
      <c r="V45" s="19" t="n">
        <f aca="false">RANK(U45,$U$2:$U$75)+COUNTIF($U$2:U45,U45)-1</f>
        <v>28</v>
      </c>
    </row>
    <row r="46" customFormat="false" ht="15" hidden="false" customHeight="false" outlineLevel="0" collapsed="false">
      <c r="A46" s="19" t="n">
        <v>6910</v>
      </c>
      <c r="B46" s="19" t="s">
        <v>367</v>
      </c>
      <c r="C46" s="19" t="s">
        <v>368</v>
      </c>
      <c r="D46" s="19" t="n">
        <v>45</v>
      </c>
      <c r="E46" s="19" t="n">
        <v>69</v>
      </c>
      <c r="F46" s="19" t="s">
        <v>108</v>
      </c>
      <c r="G46" s="19" t="n">
        <v>25</v>
      </c>
      <c r="H46" s="19" t="s">
        <v>110</v>
      </c>
      <c r="I46" s="19" t="n">
        <v>26</v>
      </c>
      <c r="J46" s="19" t="n">
        <v>0</v>
      </c>
      <c r="K46" s="19" t="n">
        <v>18</v>
      </c>
      <c r="L46" s="19" t="n">
        <f aca="false">SUMIF('Results 2026'!$B$2:$B$149,A46,'Results 2026'!$C$2:$C$149)</f>
        <v>12</v>
      </c>
      <c r="M46" s="19" t="n">
        <f aca="false">SUMIF('Results 2026'!$B$2:$B$149,A46,'Results 2026'!$D$2:$D$149)</f>
        <v>12</v>
      </c>
      <c r="N46" s="19" t="n">
        <f aca="false">SUMIF('Results 2026'!$B$2:$B$149,A46,'Results 2026'!$E$2:$E$149)</f>
        <v>0</v>
      </c>
      <c r="O46" s="29" t="n">
        <f aca="false">IF(ISERROR((L46+0.5*N46)/(L46+M46+N46)),0,(L46+0.5*N46)/(L46+M46+N46))</f>
        <v>0.5</v>
      </c>
      <c r="P46" s="20" t="n">
        <f aca="false">(G46+I46)/2</f>
        <v>25.5</v>
      </c>
      <c r="Q46" s="30"/>
      <c r="R46" s="20" t="n">
        <f aca="false">100*(P46-MIN($P$2:$P$75))/(MAX($P$2:$P$75)-MIN($P$2:$P$75))</f>
        <v>30</v>
      </c>
      <c r="S46" s="20" t="n">
        <f aca="false">100*(O46-MIN($O$2:$O$75))/(MAX($O$2:$O$75)-MIN($O$2:$O$75))</f>
        <v>35</v>
      </c>
      <c r="T46" s="20" t="str">
        <f aca="false">IF(OR(Q46="",COUNT($Q$2:$Q$75)&lt;2),"",100*(Q46-MIN($Q$2:$Q$75))/(MAX($Q$2:$Q$75)-MIN($Q$2:$Q$75)))</f>
        <v/>
      </c>
      <c r="U46" s="20" t="n">
        <f aca="false">(Assumptions!$B$4*R46+Assumptions!$B$5*S46+IF(T46="",0,Assumptions!$B$6*T46))/(Assumptions!$B$4+Assumptions!$B$5+IF(T46="",0,Assumptions!$B$6))</f>
        <v>31.9230769230769</v>
      </c>
      <c r="V46" s="19" t="n">
        <f aca="false">RANK(U46,$U$2:$U$75)+COUNTIF($U$2:U46,U46)-1</f>
        <v>40</v>
      </c>
    </row>
    <row r="47" customFormat="false" ht="15" hidden="false" customHeight="false" outlineLevel="0" collapsed="false">
      <c r="A47" s="19" t="n">
        <v>8815</v>
      </c>
      <c r="B47" s="19" t="s">
        <v>369</v>
      </c>
      <c r="C47" s="19" t="s">
        <v>370</v>
      </c>
      <c r="D47" s="19" t="n">
        <v>46</v>
      </c>
      <c r="E47" s="19" t="n">
        <v>51</v>
      </c>
      <c r="F47" s="19" t="s">
        <v>108</v>
      </c>
      <c r="G47" s="19" t="n">
        <v>24</v>
      </c>
      <c r="H47" s="19" t="s">
        <v>107</v>
      </c>
      <c r="I47" s="19" t="n">
        <v>27</v>
      </c>
      <c r="J47" s="19" t="n">
        <v>0</v>
      </c>
      <c r="K47" s="19" t="n">
        <v>0</v>
      </c>
      <c r="L47" s="19" t="n">
        <f aca="false">SUMIF('Results 2026'!$B$2:$B$149,A47,'Results 2026'!$C$2:$C$149)</f>
        <v>12</v>
      </c>
      <c r="M47" s="19" t="n">
        <f aca="false">SUMIF('Results 2026'!$B$2:$B$149,A47,'Results 2026'!$D$2:$D$149)</f>
        <v>12</v>
      </c>
      <c r="N47" s="19" t="n">
        <f aca="false">SUMIF('Results 2026'!$B$2:$B$149,A47,'Results 2026'!$E$2:$E$149)</f>
        <v>0</v>
      </c>
      <c r="O47" s="29" t="n">
        <f aca="false">IF(ISERROR((L47+0.5*N47)/(L47+M47+N47)),0,(L47+0.5*N47)/(L47+M47+N47))</f>
        <v>0.5</v>
      </c>
      <c r="P47" s="20" t="n">
        <f aca="false">(G47+I47)/2</f>
        <v>25.5</v>
      </c>
      <c r="Q47" s="30"/>
      <c r="R47" s="20" t="n">
        <f aca="false">100*(P47-MIN($P$2:$P$75))/(MAX($P$2:$P$75)-MIN($P$2:$P$75))</f>
        <v>30</v>
      </c>
      <c r="S47" s="20" t="n">
        <f aca="false">100*(O47-MIN($O$2:$O$75))/(MAX($O$2:$O$75)-MIN($O$2:$O$75))</f>
        <v>35</v>
      </c>
      <c r="T47" s="20" t="str">
        <f aca="false">IF(OR(Q47="",COUNT($Q$2:$Q$75)&lt;2),"",100*(Q47-MIN($Q$2:$Q$75))/(MAX($Q$2:$Q$75)-MIN($Q$2:$Q$75)))</f>
        <v/>
      </c>
      <c r="U47" s="20" t="n">
        <f aca="false">(Assumptions!$B$4*R47+Assumptions!$B$5*S47+IF(T47="",0,Assumptions!$B$6*T47))/(Assumptions!$B$4+Assumptions!$B$5+IF(T47="",0,Assumptions!$B$6))</f>
        <v>31.9230769230769</v>
      </c>
      <c r="V47" s="19" t="n">
        <f aca="false">RANK(U47,$U$2:$U$75)+COUNTIF($U$2:U47,U47)-1</f>
        <v>41</v>
      </c>
    </row>
    <row r="48" customFormat="false" ht="15" hidden="false" customHeight="false" outlineLevel="0" collapsed="false">
      <c r="A48" s="19" t="n">
        <v>9561</v>
      </c>
      <c r="B48" s="19" t="s">
        <v>371</v>
      </c>
      <c r="C48" s="19" t="s">
        <v>372</v>
      </c>
      <c r="D48" s="19" t="n">
        <v>47</v>
      </c>
      <c r="E48" s="19" t="n">
        <v>49</v>
      </c>
      <c r="F48" s="19" t="s">
        <v>108</v>
      </c>
      <c r="G48" s="19" t="n">
        <v>29</v>
      </c>
      <c r="H48" s="19" t="s">
        <v>107</v>
      </c>
      <c r="I48" s="19" t="n">
        <v>20</v>
      </c>
      <c r="J48" s="19" t="n">
        <v>0</v>
      </c>
      <c r="K48" s="19" t="n">
        <v>0</v>
      </c>
      <c r="L48" s="19" t="n">
        <f aca="false">SUMIF('Results 2026'!$B$2:$B$149,A48,'Results 2026'!$C$2:$C$149)</f>
        <v>12</v>
      </c>
      <c r="M48" s="19" t="n">
        <f aca="false">SUMIF('Results 2026'!$B$2:$B$149,A48,'Results 2026'!$D$2:$D$149)</f>
        <v>10</v>
      </c>
      <c r="N48" s="19" t="n">
        <f aca="false">SUMIF('Results 2026'!$B$2:$B$149,A48,'Results 2026'!$E$2:$E$149)</f>
        <v>0</v>
      </c>
      <c r="O48" s="29" t="n">
        <f aca="false">IF(ISERROR((L48+0.5*N48)/(L48+M48+N48)),0,(L48+0.5*N48)/(L48+M48+N48))</f>
        <v>0.545454545454545</v>
      </c>
      <c r="P48" s="20" t="n">
        <f aca="false">(G48+I48)/2</f>
        <v>24.5</v>
      </c>
      <c r="Q48" s="30"/>
      <c r="R48" s="20" t="n">
        <f aca="false">100*(P48-MIN($P$2:$P$75))/(MAX($P$2:$P$75)-MIN($P$2:$P$75))</f>
        <v>28.5714285714286</v>
      </c>
      <c r="S48" s="20" t="n">
        <f aca="false">100*(O48-MIN($O$2:$O$75))/(MAX($O$2:$O$75)-MIN($O$2:$O$75))</f>
        <v>40.9090909090909</v>
      </c>
      <c r="T48" s="20" t="str">
        <f aca="false">IF(OR(Q48="",COUNT($Q$2:$Q$75)&lt;2),"",100*(Q48-MIN($Q$2:$Q$75))/(MAX($Q$2:$Q$75)-MIN($Q$2:$Q$75)))</f>
        <v/>
      </c>
      <c r="U48" s="20" t="n">
        <f aca="false">(Assumptions!$B$4*R48+Assumptions!$B$5*S48+IF(T48="",0,Assumptions!$B$6*T48))/(Assumptions!$B$4+Assumptions!$B$5+IF(T48="",0,Assumptions!$B$6))</f>
        <v>33.3166833166833</v>
      </c>
      <c r="V48" s="19" t="n">
        <f aca="false">RANK(U48,$U$2:$U$75)+COUNTIF($U$2:U48,U48)-1</f>
        <v>38</v>
      </c>
    </row>
    <row r="49" customFormat="false" ht="15" hidden="false" customHeight="false" outlineLevel="0" collapsed="false">
      <c r="A49" s="19" t="n">
        <v>7676</v>
      </c>
      <c r="B49" s="19" t="s">
        <v>373</v>
      </c>
      <c r="C49" s="19" t="s">
        <v>374</v>
      </c>
      <c r="D49" s="19" t="n">
        <v>48</v>
      </c>
      <c r="E49" s="19" t="n">
        <v>45</v>
      </c>
      <c r="F49" s="19" t="s">
        <v>106</v>
      </c>
      <c r="G49" s="19" t="n">
        <v>4</v>
      </c>
      <c r="H49" s="19" t="s">
        <v>179</v>
      </c>
      <c r="I49" s="19" t="n">
        <v>41</v>
      </c>
      <c r="J49" s="19" t="n">
        <v>0</v>
      </c>
      <c r="K49" s="19" t="n">
        <v>0</v>
      </c>
      <c r="L49" s="19" t="n">
        <f aca="false">SUMIF('Results 2026'!$B$2:$B$149,A49,'Results 2026'!$C$2:$C$149)</f>
        <v>6</v>
      </c>
      <c r="M49" s="19" t="n">
        <f aca="false">SUMIF('Results 2026'!$B$2:$B$149,A49,'Results 2026'!$D$2:$D$149)</f>
        <v>17</v>
      </c>
      <c r="N49" s="19" t="n">
        <f aca="false">SUMIF('Results 2026'!$B$2:$B$149,A49,'Results 2026'!$E$2:$E$149)</f>
        <v>1</v>
      </c>
      <c r="O49" s="29" t="n">
        <f aca="false">IF(ISERROR((L49+0.5*N49)/(L49+M49+N49)),0,(L49+0.5*N49)/(L49+M49+N49))</f>
        <v>0.270833333333333</v>
      </c>
      <c r="P49" s="20" t="n">
        <f aca="false">(G49+I49)/2</f>
        <v>22.5</v>
      </c>
      <c r="Q49" s="30"/>
      <c r="R49" s="20" t="n">
        <f aca="false">100*(P49-MIN($P$2:$P$75))/(MAX($P$2:$P$75)-MIN($P$2:$P$75))</f>
        <v>25.7142857142857</v>
      </c>
      <c r="S49" s="20" t="n">
        <f aca="false">100*(O49-MIN($O$2:$O$75))/(MAX($O$2:$O$75)-MIN($O$2:$O$75))</f>
        <v>5.20833333333333</v>
      </c>
      <c r="T49" s="20" t="str">
        <f aca="false">IF(OR(Q49="",COUNT($Q$2:$Q$75)&lt;2),"",100*(Q49-MIN($Q$2:$Q$75))/(MAX($Q$2:$Q$75)-MIN($Q$2:$Q$75)))</f>
        <v/>
      </c>
      <c r="U49" s="20" t="n">
        <f aca="false">(Assumptions!$B$4*R49+Assumptions!$B$5*S49+IF(T49="",0,Assumptions!$B$6*T49))/(Assumptions!$B$4+Assumptions!$B$5+IF(T49="",0,Assumptions!$B$6))</f>
        <v>17.827380952381</v>
      </c>
      <c r="V49" s="19" t="n">
        <f aca="false">RANK(U49,$U$2:$U$75)+COUNTIF($U$2:U49,U49)-1</f>
        <v>60</v>
      </c>
    </row>
    <row r="50" customFormat="false" ht="15" hidden="false" customHeight="false" outlineLevel="0" collapsed="false">
      <c r="A50" s="19" t="n">
        <v>3318</v>
      </c>
      <c r="B50" s="19" t="s">
        <v>375</v>
      </c>
      <c r="C50" s="19" t="s">
        <v>109</v>
      </c>
      <c r="D50" s="19" t="n">
        <v>49</v>
      </c>
      <c r="E50" s="19" t="n">
        <v>45</v>
      </c>
      <c r="F50" s="19" t="s">
        <v>108</v>
      </c>
      <c r="G50" s="19" t="n">
        <v>24</v>
      </c>
      <c r="H50" s="19" t="s">
        <v>107</v>
      </c>
      <c r="I50" s="19" t="n">
        <v>21</v>
      </c>
      <c r="J50" s="19" t="n">
        <v>0</v>
      </c>
      <c r="K50" s="19" t="n">
        <v>0</v>
      </c>
      <c r="L50" s="19" t="n">
        <f aca="false">SUMIF('Results 2026'!$B$2:$B$149,A50,'Results 2026'!$C$2:$C$149)</f>
        <v>7</v>
      </c>
      <c r="M50" s="19" t="n">
        <f aca="false">SUMIF('Results 2026'!$B$2:$B$149,A50,'Results 2026'!$D$2:$D$149)</f>
        <v>16</v>
      </c>
      <c r="N50" s="19" t="n">
        <f aca="false">SUMIF('Results 2026'!$B$2:$B$149,A50,'Results 2026'!$E$2:$E$149)</f>
        <v>1</v>
      </c>
      <c r="O50" s="29" t="n">
        <f aca="false">IF(ISERROR((L50+0.5*N50)/(L50+M50+N50)),0,(L50+0.5*N50)/(L50+M50+N50))</f>
        <v>0.3125</v>
      </c>
      <c r="P50" s="20" t="n">
        <f aca="false">(G50+I50)/2</f>
        <v>22.5</v>
      </c>
      <c r="Q50" s="30"/>
      <c r="R50" s="20" t="n">
        <f aca="false">100*(P50-MIN($P$2:$P$75))/(MAX($P$2:$P$75)-MIN($P$2:$P$75))</f>
        <v>25.7142857142857</v>
      </c>
      <c r="S50" s="20" t="n">
        <f aca="false">100*(O50-MIN($O$2:$O$75))/(MAX($O$2:$O$75)-MIN($O$2:$O$75))</f>
        <v>10.625</v>
      </c>
      <c r="T50" s="20" t="str">
        <f aca="false">IF(OR(Q50="",COUNT($Q$2:$Q$75)&lt;2),"",100*(Q50-MIN($Q$2:$Q$75))/(MAX($Q$2:$Q$75)-MIN($Q$2:$Q$75)))</f>
        <v/>
      </c>
      <c r="U50" s="20" t="n">
        <f aca="false">(Assumptions!$B$4*R50+Assumptions!$B$5*S50+IF(T50="",0,Assumptions!$B$6*T50))/(Assumptions!$B$4+Assumptions!$B$5+IF(T50="",0,Assumptions!$B$6))</f>
        <v>19.9107142857143</v>
      </c>
      <c r="V50" s="19" t="n">
        <f aca="false">RANK(U50,$U$2:$U$75)+COUNTIF($U$2:U50,U50)-1</f>
        <v>58</v>
      </c>
    </row>
    <row r="51" customFormat="false" ht="15" hidden="false" customHeight="false" outlineLevel="0" collapsed="false">
      <c r="A51" s="19" t="n">
        <v>8865</v>
      </c>
      <c r="B51" s="19" t="s">
        <v>376</v>
      </c>
      <c r="C51" s="19" t="s">
        <v>377</v>
      </c>
      <c r="D51" s="19" t="n">
        <v>50</v>
      </c>
      <c r="E51" s="19" t="n">
        <v>44</v>
      </c>
      <c r="F51" s="19" t="s">
        <v>108</v>
      </c>
      <c r="G51" s="19" t="n">
        <v>25</v>
      </c>
      <c r="H51" s="19" t="s">
        <v>107</v>
      </c>
      <c r="I51" s="19" t="n">
        <v>19</v>
      </c>
      <c r="J51" s="19" t="n">
        <v>0</v>
      </c>
      <c r="K51" s="19" t="n">
        <v>0</v>
      </c>
      <c r="L51" s="19" t="n">
        <f aca="false">SUMIF('Results 2026'!$B$2:$B$149,A51,'Results 2026'!$C$2:$C$149)</f>
        <v>10</v>
      </c>
      <c r="M51" s="19" t="n">
        <f aca="false">SUMIF('Results 2026'!$B$2:$B$149,A51,'Results 2026'!$D$2:$D$149)</f>
        <v>13</v>
      </c>
      <c r="N51" s="19" t="n">
        <f aca="false">SUMIF('Results 2026'!$B$2:$B$149,A51,'Results 2026'!$E$2:$E$149)</f>
        <v>1</v>
      </c>
      <c r="O51" s="29" t="n">
        <f aca="false">IF(ISERROR((L51+0.5*N51)/(L51+M51+N51)),0,(L51+0.5*N51)/(L51+M51+N51))</f>
        <v>0.4375</v>
      </c>
      <c r="P51" s="20" t="n">
        <f aca="false">(G51+I51)/2</f>
        <v>22</v>
      </c>
      <c r="Q51" s="30"/>
      <c r="R51" s="20" t="n">
        <f aca="false">100*(P51-MIN($P$2:$P$75))/(MAX($P$2:$P$75)-MIN($P$2:$P$75))</f>
        <v>25</v>
      </c>
      <c r="S51" s="20" t="n">
        <f aca="false">100*(O51-MIN($O$2:$O$75))/(MAX($O$2:$O$75)-MIN($O$2:$O$75))</f>
        <v>26.875</v>
      </c>
      <c r="T51" s="20" t="str">
        <f aca="false">IF(OR(Q51="",COUNT($Q$2:$Q$75)&lt;2),"",100*(Q51-MIN($Q$2:$Q$75))/(MAX($Q$2:$Q$75)-MIN($Q$2:$Q$75)))</f>
        <v/>
      </c>
      <c r="U51" s="20" t="n">
        <f aca="false">(Assumptions!$B$4*R51+Assumptions!$B$5*S51+IF(T51="",0,Assumptions!$B$6*T51))/(Assumptions!$B$4+Assumptions!$B$5+IF(T51="",0,Assumptions!$B$6))</f>
        <v>25.7211538461538</v>
      </c>
      <c r="V51" s="19" t="n">
        <f aca="false">RANK(U51,$U$2:$U$75)+COUNTIF($U$2:U51,U51)-1</f>
        <v>48</v>
      </c>
    </row>
    <row r="52" customFormat="false" ht="15" hidden="false" customHeight="false" outlineLevel="0" collapsed="false">
      <c r="A52" s="19" t="n">
        <v>7104</v>
      </c>
      <c r="B52" s="19" t="s">
        <v>378</v>
      </c>
      <c r="C52" s="19" t="s">
        <v>379</v>
      </c>
      <c r="D52" s="19" t="n">
        <v>51</v>
      </c>
      <c r="E52" s="19" t="n">
        <v>42</v>
      </c>
      <c r="F52" s="19" t="s">
        <v>179</v>
      </c>
      <c r="G52" s="19" t="n">
        <v>33</v>
      </c>
      <c r="H52" s="19" t="s">
        <v>110</v>
      </c>
      <c r="I52" s="19" t="n">
        <v>9</v>
      </c>
      <c r="J52" s="19" t="n">
        <v>0</v>
      </c>
      <c r="K52" s="19" t="n">
        <v>0</v>
      </c>
      <c r="L52" s="19" t="n">
        <f aca="false">SUMIF('Results 2026'!$B$2:$B$149,A52,'Results 2026'!$C$2:$C$149)</f>
        <v>8</v>
      </c>
      <c r="M52" s="19" t="n">
        <f aca="false">SUMIF('Results 2026'!$B$2:$B$149,A52,'Results 2026'!$D$2:$D$149)</f>
        <v>15</v>
      </c>
      <c r="N52" s="19" t="n">
        <f aca="false">SUMIF('Results 2026'!$B$2:$B$149,A52,'Results 2026'!$E$2:$E$149)</f>
        <v>1</v>
      </c>
      <c r="O52" s="29" t="n">
        <f aca="false">IF(ISERROR((L52+0.5*N52)/(L52+M52+N52)),0,(L52+0.5*N52)/(L52+M52+N52))</f>
        <v>0.354166666666667</v>
      </c>
      <c r="P52" s="20" t="n">
        <f aca="false">(G52+I52)/2</f>
        <v>21</v>
      </c>
      <c r="Q52" s="30"/>
      <c r="R52" s="20" t="n">
        <f aca="false">100*(P52-MIN($P$2:$P$75))/(MAX($P$2:$P$75)-MIN($P$2:$P$75))</f>
        <v>23.5714285714286</v>
      </c>
      <c r="S52" s="20" t="n">
        <f aca="false">100*(O52-MIN($O$2:$O$75))/(MAX($O$2:$O$75)-MIN($O$2:$O$75))</f>
        <v>16.0416666666667</v>
      </c>
      <c r="T52" s="20" t="str">
        <f aca="false">IF(OR(Q52="",COUNT($Q$2:$Q$75)&lt;2),"",100*(Q52-MIN($Q$2:$Q$75))/(MAX($Q$2:$Q$75)-MIN($Q$2:$Q$75)))</f>
        <v/>
      </c>
      <c r="U52" s="20" t="n">
        <f aca="false">(Assumptions!$B$4*R52+Assumptions!$B$5*S52+IF(T52="",0,Assumptions!$B$6*T52))/(Assumptions!$B$4+Assumptions!$B$5+IF(T52="",0,Assumptions!$B$6))</f>
        <v>20.6753663003663</v>
      </c>
      <c r="V52" s="19" t="n">
        <f aca="false">RANK(U52,$U$2:$U$75)+COUNTIF($U$2:U52,U52)-1</f>
        <v>56</v>
      </c>
    </row>
    <row r="53" customFormat="false" ht="15" hidden="false" customHeight="false" outlineLevel="0" collapsed="false">
      <c r="A53" s="19" t="n">
        <v>10376</v>
      </c>
      <c r="B53" s="19" t="s">
        <v>380</v>
      </c>
      <c r="C53" s="19" t="s">
        <v>381</v>
      </c>
      <c r="D53" s="19" t="n">
        <v>52</v>
      </c>
      <c r="E53" s="19" t="n">
        <v>41</v>
      </c>
      <c r="F53" s="19" t="s">
        <v>106</v>
      </c>
      <c r="G53" s="19" t="n">
        <v>11</v>
      </c>
      <c r="H53" s="19" t="s">
        <v>179</v>
      </c>
      <c r="I53" s="19" t="n">
        <v>25</v>
      </c>
      <c r="J53" s="19" t="n">
        <v>5</v>
      </c>
      <c r="K53" s="19" t="n">
        <v>0</v>
      </c>
      <c r="L53" s="19" t="n">
        <f aca="false">SUMIF('Results 2026'!$B$2:$B$149,A53,'Results 2026'!$C$2:$C$149)</f>
        <v>10</v>
      </c>
      <c r="M53" s="19" t="n">
        <f aca="false">SUMIF('Results 2026'!$B$2:$B$149,A53,'Results 2026'!$D$2:$D$149)</f>
        <v>14</v>
      </c>
      <c r="N53" s="19" t="n">
        <f aca="false">SUMIF('Results 2026'!$B$2:$B$149,A53,'Results 2026'!$E$2:$E$149)</f>
        <v>0</v>
      </c>
      <c r="O53" s="29" t="n">
        <f aca="false">IF(ISERROR((L53+0.5*N53)/(L53+M53+N53)),0,(L53+0.5*N53)/(L53+M53+N53))</f>
        <v>0.416666666666667</v>
      </c>
      <c r="P53" s="20" t="n">
        <f aca="false">(G53+I53)/2</f>
        <v>18</v>
      </c>
      <c r="Q53" s="30"/>
      <c r="R53" s="20" t="n">
        <f aca="false">100*(P53-MIN($P$2:$P$75))/(MAX($P$2:$P$75)-MIN($P$2:$P$75))</f>
        <v>19.2857142857143</v>
      </c>
      <c r="S53" s="20" t="n">
        <f aca="false">100*(O53-MIN($O$2:$O$75))/(MAX($O$2:$O$75)-MIN($O$2:$O$75))</f>
        <v>24.1666666666667</v>
      </c>
      <c r="T53" s="20" t="str">
        <f aca="false">IF(OR(Q53="",COUNT($Q$2:$Q$75)&lt;2),"",100*(Q53-MIN($Q$2:$Q$75))/(MAX($Q$2:$Q$75)-MIN($Q$2:$Q$75)))</f>
        <v/>
      </c>
      <c r="U53" s="20" t="n">
        <f aca="false">(Assumptions!$B$4*R53+Assumptions!$B$5*S53+IF(T53="",0,Assumptions!$B$6*T53))/(Assumptions!$B$4+Assumptions!$B$5+IF(T53="",0,Assumptions!$B$6))</f>
        <v>21.1630036630037</v>
      </c>
      <c r="V53" s="19" t="n">
        <f aca="false">RANK(U53,$U$2:$U$75)+COUNTIF($U$2:U53,U53)-1</f>
        <v>55</v>
      </c>
    </row>
    <row r="54" customFormat="false" ht="15" hidden="false" customHeight="false" outlineLevel="0" collapsed="false">
      <c r="A54" s="19" t="n">
        <v>4701</v>
      </c>
      <c r="B54" s="19" t="s">
        <v>382</v>
      </c>
      <c r="C54" s="19" t="s">
        <v>379</v>
      </c>
      <c r="D54" s="19" t="n">
        <v>53</v>
      </c>
      <c r="E54" s="19" t="n">
        <v>39</v>
      </c>
      <c r="F54" s="19" t="s">
        <v>108</v>
      </c>
      <c r="G54" s="19" t="n">
        <v>11</v>
      </c>
      <c r="H54" s="19" t="s">
        <v>110</v>
      </c>
      <c r="I54" s="19" t="n">
        <v>28</v>
      </c>
      <c r="J54" s="19" t="n">
        <v>0</v>
      </c>
      <c r="K54" s="19" t="n">
        <v>0</v>
      </c>
      <c r="L54" s="19" t="n">
        <f aca="false">SUMIF('Results 2026'!$B$2:$B$149,A54,'Results 2026'!$C$2:$C$149)</f>
        <v>10</v>
      </c>
      <c r="M54" s="19" t="n">
        <f aca="false">SUMIF('Results 2026'!$B$2:$B$149,A54,'Results 2026'!$D$2:$D$149)</f>
        <v>14</v>
      </c>
      <c r="N54" s="19" t="n">
        <f aca="false">SUMIF('Results 2026'!$B$2:$B$149,A54,'Results 2026'!$E$2:$E$149)</f>
        <v>0</v>
      </c>
      <c r="O54" s="29" t="n">
        <f aca="false">IF(ISERROR((L54+0.5*N54)/(L54+M54+N54)),0,(L54+0.5*N54)/(L54+M54+N54))</f>
        <v>0.416666666666667</v>
      </c>
      <c r="P54" s="20" t="n">
        <f aca="false">(G54+I54)/2</f>
        <v>19.5</v>
      </c>
      <c r="Q54" s="30"/>
      <c r="R54" s="20" t="n">
        <f aca="false">100*(P54-MIN($P$2:$P$75))/(MAX($P$2:$P$75)-MIN($P$2:$P$75))</f>
        <v>21.4285714285714</v>
      </c>
      <c r="S54" s="20" t="n">
        <f aca="false">100*(O54-MIN($O$2:$O$75))/(MAX($O$2:$O$75)-MIN($O$2:$O$75))</f>
        <v>24.1666666666667</v>
      </c>
      <c r="T54" s="20" t="str">
        <f aca="false">IF(OR(Q54="",COUNT($Q$2:$Q$75)&lt;2),"",100*(Q54-MIN($Q$2:$Q$75))/(MAX($Q$2:$Q$75)-MIN($Q$2:$Q$75)))</f>
        <v/>
      </c>
      <c r="U54" s="20" t="n">
        <f aca="false">(Assumptions!$B$4*R54+Assumptions!$B$5*S54+IF(T54="",0,Assumptions!$B$6*T54))/(Assumptions!$B$4+Assumptions!$B$5+IF(T54="",0,Assumptions!$B$6))</f>
        <v>22.481684981685</v>
      </c>
      <c r="V54" s="19" t="n">
        <f aca="false">RANK(U54,$U$2:$U$75)+COUNTIF($U$2:U54,U54)-1</f>
        <v>51</v>
      </c>
    </row>
    <row r="55" customFormat="false" ht="15" hidden="false" customHeight="false" outlineLevel="0" collapsed="false">
      <c r="A55" s="19" t="n">
        <v>5074</v>
      </c>
      <c r="B55" s="19" t="s">
        <v>383</v>
      </c>
      <c r="C55" s="19" t="s">
        <v>384</v>
      </c>
      <c r="D55" s="19" t="n">
        <v>54</v>
      </c>
      <c r="E55" s="19" t="n">
        <v>38</v>
      </c>
      <c r="F55" s="19" t="s">
        <v>108</v>
      </c>
      <c r="G55" s="19" t="n">
        <v>22</v>
      </c>
      <c r="H55" s="19" t="s">
        <v>110</v>
      </c>
      <c r="I55" s="19" t="n">
        <v>16</v>
      </c>
      <c r="J55" s="19" t="n">
        <v>0</v>
      </c>
      <c r="K55" s="19" t="n">
        <v>0</v>
      </c>
      <c r="L55" s="19" t="n">
        <f aca="false">SUMIF('Results 2026'!$B$2:$B$149,A55,'Results 2026'!$C$2:$C$149)</f>
        <v>8</v>
      </c>
      <c r="M55" s="19" t="n">
        <f aca="false">SUMIF('Results 2026'!$B$2:$B$149,A55,'Results 2026'!$D$2:$D$149)</f>
        <v>14</v>
      </c>
      <c r="N55" s="19" t="n">
        <f aca="false">SUMIF('Results 2026'!$B$2:$B$149,A55,'Results 2026'!$E$2:$E$149)</f>
        <v>2</v>
      </c>
      <c r="O55" s="29" t="n">
        <f aca="false">IF(ISERROR((L55+0.5*N55)/(L55+M55+N55)),0,(L55+0.5*N55)/(L55+M55+N55))</f>
        <v>0.375</v>
      </c>
      <c r="P55" s="20" t="n">
        <f aca="false">(G55+I55)/2</f>
        <v>19</v>
      </c>
      <c r="Q55" s="30"/>
      <c r="R55" s="20" t="n">
        <f aca="false">100*(P55-MIN($P$2:$P$75))/(MAX($P$2:$P$75)-MIN($P$2:$P$75))</f>
        <v>20.7142857142857</v>
      </c>
      <c r="S55" s="20" t="n">
        <f aca="false">100*(O55-MIN($O$2:$O$75))/(MAX($O$2:$O$75)-MIN($O$2:$O$75))</f>
        <v>18.75</v>
      </c>
      <c r="T55" s="20" t="str">
        <f aca="false">IF(OR(Q55="",COUNT($Q$2:$Q$75)&lt;2),"",100*(Q55-MIN($Q$2:$Q$75))/(MAX($Q$2:$Q$75)-MIN($Q$2:$Q$75)))</f>
        <v/>
      </c>
      <c r="U55" s="20" t="n">
        <f aca="false">(Assumptions!$B$4*R55+Assumptions!$B$5*S55+IF(T55="",0,Assumptions!$B$6*T55))/(Assumptions!$B$4+Assumptions!$B$5+IF(T55="",0,Assumptions!$B$6))</f>
        <v>19.9587912087912</v>
      </c>
      <c r="V55" s="19" t="n">
        <f aca="false">RANK(U55,$U$2:$U$75)+COUNTIF($U$2:U55,U55)-1</f>
        <v>57</v>
      </c>
    </row>
    <row r="56" customFormat="false" ht="15" hidden="false" customHeight="false" outlineLevel="0" collapsed="false">
      <c r="A56" s="19" t="n">
        <v>5293</v>
      </c>
      <c r="B56" s="19" t="s">
        <v>385</v>
      </c>
      <c r="C56" s="19" t="s">
        <v>386</v>
      </c>
      <c r="D56" s="19" t="n">
        <v>55</v>
      </c>
      <c r="E56" s="19" t="n">
        <v>38</v>
      </c>
      <c r="F56" s="19" t="s">
        <v>108</v>
      </c>
      <c r="G56" s="19" t="n">
        <v>18</v>
      </c>
      <c r="H56" s="19" t="s">
        <v>107</v>
      </c>
      <c r="I56" s="19" t="n">
        <v>20</v>
      </c>
      <c r="J56" s="19" t="n">
        <v>0</v>
      </c>
      <c r="K56" s="19" t="n">
        <v>0</v>
      </c>
      <c r="L56" s="19" t="n">
        <f aca="false">SUMIF('Results 2026'!$B$2:$B$149,A56,'Results 2026'!$C$2:$C$149)</f>
        <v>7</v>
      </c>
      <c r="M56" s="19" t="n">
        <f aca="false">SUMIF('Results 2026'!$B$2:$B$149,A56,'Results 2026'!$D$2:$D$149)</f>
        <v>14</v>
      </c>
      <c r="N56" s="19" t="n">
        <f aca="false">SUMIF('Results 2026'!$B$2:$B$149,A56,'Results 2026'!$E$2:$E$149)</f>
        <v>2</v>
      </c>
      <c r="O56" s="29" t="n">
        <f aca="false">IF(ISERROR((L56+0.5*N56)/(L56+M56+N56)),0,(L56+0.5*N56)/(L56+M56+N56))</f>
        <v>0.347826086956522</v>
      </c>
      <c r="P56" s="20" t="n">
        <f aca="false">(G56+I56)/2</f>
        <v>19</v>
      </c>
      <c r="Q56" s="30"/>
      <c r="R56" s="20" t="n">
        <f aca="false">100*(P56-MIN($P$2:$P$75))/(MAX($P$2:$P$75)-MIN($P$2:$P$75))</f>
        <v>20.7142857142857</v>
      </c>
      <c r="S56" s="20" t="n">
        <f aca="false">100*(O56-MIN($O$2:$O$75))/(MAX($O$2:$O$75)-MIN($O$2:$O$75))</f>
        <v>15.2173913043478</v>
      </c>
      <c r="T56" s="20" t="str">
        <f aca="false">IF(OR(Q56="",COUNT($Q$2:$Q$75)&lt;2),"",100*(Q56-MIN($Q$2:$Q$75))/(MAX($Q$2:$Q$75)-MIN($Q$2:$Q$75)))</f>
        <v/>
      </c>
      <c r="U56" s="20" t="n">
        <f aca="false">(Assumptions!$B$4*R56+Assumptions!$B$5*S56+IF(T56="",0,Assumptions!$B$6*T56))/(Assumptions!$B$4+Assumptions!$B$5+IF(T56="",0,Assumptions!$B$6))</f>
        <v>18.6000955566173</v>
      </c>
      <c r="V56" s="19" t="n">
        <f aca="false">RANK(U56,$U$2:$U$75)+COUNTIF($U$2:U56,U56)-1</f>
        <v>59</v>
      </c>
    </row>
    <row r="57" customFormat="false" ht="15" hidden="false" customHeight="false" outlineLevel="0" collapsed="false">
      <c r="A57" s="19" t="n">
        <v>7514</v>
      </c>
      <c r="B57" s="19" t="s">
        <v>387</v>
      </c>
      <c r="C57" s="19" t="s">
        <v>322</v>
      </c>
      <c r="D57" s="19" t="n">
        <v>56</v>
      </c>
      <c r="E57" s="19" t="n">
        <v>38</v>
      </c>
      <c r="F57" s="19" t="s">
        <v>106</v>
      </c>
      <c r="G57" s="19" t="n">
        <v>15</v>
      </c>
      <c r="H57" s="19" t="s">
        <v>110</v>
      </c>
      <c r="I57" s="19" t="n">
        <v>23</v>
      </c>
      <c r="J57" s="19" t="n">
        <v>0</v>
      </c>
      <c r="K57" s="19" t="n">
        <v>0</v>
      </c>
      <c r="L57" s="19" t="n">
        <f aca="false">SUMIF('Results 2026'!$B$2:$B$149,A57,'Results 2026'!$C$2:$C$149)</f>
        <v>11</v>
      </c>
      <c r="M57" s="19" t="n">
        <f aca="false">SUMIF('Results 2026'!$B$2:$B$149,A57,'Results 2026'!$D$2:$D$149)</f>
        <v>13</v>
      </c>
      <c r="N57" s="19" t="n">
        <f aca="false">SUMIF('Results 2026'!$B$2:$B$149,A57,'Results 2026'!$E$2:$E$149)</f>
        <v>0</v>
      </c>
      <c r="O57" s="29" t="n">
        <f aca="false">IF(ISERROR((L57+0.5*N57)/(L57+M57+N57)),0,(L57+0.5*N57)/(L57+M57+N57))</f>
        <v>0.458333333333333</v>
      </c>
      <c r="P57" s="20" t="n">
        <f aca="false">(G57+I57)/2</f>
        <v>19</v>
      </c>
      <c r="Q57" s="30"/>
      <c r="R57" s="20" t="n">
        <f aca="false">100*(P57-MIN($P$2:$P$75))/(MAX($P$2:$P$75)-MIN($P$2:$P$75))</f>
        <v>20.7142857142857</v>
      </c>
      <c r="S57" s="20" t="n">
        <f aca="false">100*(O57-MIN($O$2:$O$75))/(MAX($O$2:$O$75)-MIN($O$2:$O$75))</f>
        <v>29.5833333333333</v>
      </c>
      <c r="T57" s="20" t="str">
        <f aca="false">IF(OR(Q57="",COUNT($Q$2:$Q$75)&lt;2),"",100*(Q57-MIN($Q$2:$Q$75))/(MAX($Q$2:$Q$75)-MIN($Q$2:$Q$75)))</f>
        <v/>
      </c>
      <c r="U57" s="20" t="n">
        <f aca="false">(Assumptions!$B$4*R57+Assumptions!$B$5*S57+IF(T57="",0,Assumptions!$B$6*T57))/(Assumptions!$B$4+Assumptions!$B$5+IF(T57="",0,Assumptions!$B$6))</f>
        <v>24.1254578754579</v>
      </c>
      <c r="V57" s="19" t="n">
        <f aca="false">RANK(U57,$U$2:$U$75)+COUNTIF($U$2:U57,U57)-1</f>
        <v>49</v>
      </c>
    </row>
    <row r="58" customFormat="false" ht="15" hidden="false" customHeight="false" outlineLevel="0" collapsed="false">
      <c r="A58" s="19" t="n">
        <v>8100</v>
      </c>
      <c r="B58" s="19" t="s">
        <v>388</v>
      </c>
      <c r="C58" s="19" t="s">
        <v>389</v>
      </c>
      <c r="D58" s="19" t="n">
        <v>57</v>
      </c>
      <c r="E58" s="19" t="n">
        <v>37</v>
      </c>
      <c r="F58" s="19" t="s">
        <v>108</v>
      </c>
      <c r="G58" s="19" t="n">
        <v>22</v>
      </c>
      <c r="H58" s="19" t="s">
        <v>110</v>
      </c>
      <c r="I58" s="19" t="n">
        <v>15</v>
      </c>
      <c r="J58" s="19" t="n">
        <v>0</v>
      </c>
      <c r="K58" s="19" t="n">
        <v>0</v>
      </c>
      <c r="L58" s="19" t="n">
        <f aca="false">SUMIF('Results 2026'!$B$2:$B$149,A58,'Results 2026'!$C$2:$C$149)</f>
        <v>8</v>
      </c>
      <c r="M58" s="19" t="n">
        <f aca="false">SUMIF('Results 2026'!$B$2:$B$149,A58,'Results 2026'!$D$2:$D$149)</f>
        <v>16</v>
      </c>
      <c r="N58" s="19" t="n">
        <f aca="false">SUMIF('Results 2026'!$B$2:$B$149,A58,'Results 2026'!$E$2:$E$149)</f>
        <v>0</v>
      </c>
      <c r="O58" s="29" t="n">
        <f aca="false">IF(ISERROR((L58+0.5*N58)/(L58+M58+N58)),0,(L58+0.5*N58)/(L58+M58+N58))</f>
        <v>0.333333333333333</v>
      </c>
      <c r="P58" s="20" t="n">
        <f aca="false">(G58+I58)/2</f>
        <v>18.5</v>
      </c>
      <c r="Q58" s="30"/>
      <c r="R58" s="20" t="n">
        <f aca="false">100*(P58-MIN($P$2:$P$75))/(MAX($P$2:$P$75)-MIN($P$2:$P$75))</f>
        <v>20</v>
      </c>
      <c r="S58" s="20" t="n">
        <f aca="false">100*(O58-MIN($O$2:$O$75))/(MAX($O$2:$O$75)-MIN($O$2:$O$75))</f>
        <v>13.3333333333333</v>
      </c>
      <c r="T58" s="20" t="str">
        <f aca="false">IF(OR(Q58="",COUNT($Q$2:$Q$75)&lt;2),"",100*(Q58-MIN($Q$2:$Q$75))/(MAX($Q$2:$Q$75)-MIN($Q$2:$Q$75)))</f>
        <v/>
      </c>
      <c r="U58" s="20" t="n">
        <f aca="false">(Assumptions!$B$4*R58+Assumptions!$B$5*S58+IF(T58="",0,Assumptions!$B$6*T58))/(Assumptions!$B$4+Assumptions!$B$5+IF(T58="",0,Assumptions!$B$6))</f>
        <v>17.4358974358974</v>
      </c>
      <c r="V58" s="19" t="n">
        <f aca="false">RANK(U58,$U$2:$U$75)+COUNTIF($U$2:U58,U58)-1</f>
        <v>61</v>
      </c>
    </row>
    <row r="59" customFormat="false" ht="15" hidden="false" customHeight="false" outlineLevel="0" collapsed="false">
      <c r="A59" s="19" t="n">
        <v>5651</v>
      </c>
      <c r="B59" s="19" t="s">
        <v>390</v>
      </c>
      <c r="C59" s="19" t="s">
        <v>322</v>
      </c>
      <c r="D59" s="19" t="n">
        <v>58</v>
      </c>
      <c r="E59" s="19" t="n">
        <v>36</v>
      </c>
      <c r="F59" s="19" t="s">
        <v>108</v>
      </c>
      <c r="G59" s="19" t="n">
        <v>13</v>
      </c>
      <c r="H59" s="19" t="s">
        <v>107</v>
      </c>
      <c r="I59" s="19" t="n">
        <v>23</v>
      </c>
      <c r="J59" s="19" t="n">
        <v>0</v>
      </c>
      <c r="K59" s="19" t="n">
        <v>0</v>
      </c>
      <c r="L59" s="19" t="n">
        <f aca="false">SUMIF('Results 2026'!$B$2:$B$149,A59,'Results 2026'!$C$2:$C$149)</f>
        <v>11</v>
      </c>
      <c r="M59" s="19" t="n">
        <f aca="false">SUMIF('Results 2026'!$B$2:$B$149,A59,'Results 2026'!$D$2:$D$149)</f>
        <v>13</v>
      </c>
      <c r="N59" s="19" t="n">
        <f aca="false">SUMIF('Results 2026'!$B$2:$B$149,A59,'Results 2026'!$E$2:$E$149)</f>
        <v>0</v>
      </c>
      <c r="O59" s="29" t="n">
        <f aca="false">IF(ISERROR((L59+0.5*N59)/(L59+M59+N59)),0,(L59+0.5*N59)/(L59+M59+N59))</f>
        <v>0.458333333333333</v>
      </c>
      <c r="P59" s="20" t="n">
        <f aca="false">(G59+I59)/2</f>
        <v>18</v>
      </c>
      <c r="Q59" s="30"/>
      <c r="R59" s="20" t="n">
        <f aca="false">100*(P59-MIN($P$2:$P$75))/(MAX($P$2:$P$75)-MIN($P$2:$P$75))</f>
        <v>19.2857142857143</v>
      </c>
      <c r="S59" s="20" t="n">
        <f aca="false">100*(O59-MIN($O$2:$O$75))/(MAX($O$2:$O$75)-MIN($O$2:$O$75))</f>
        <v>29.5833333333333</v>
      </c>
      <c r="T59" s="20" t="str">
        <f aca="false">IF(OR(Q59="",COUNT($Q$2:$Q$75)&lt;2),"",100*(Q59-MIN($Q$2:$Q$75))/(MAX($Q$2:$Q$75)-MIN($Q$2:$Q$75)))</f>
        <v/>
      </c>
      <c r="U59" s="20" t="n">
        <f aca="false">(Assumptions!$B$4*R59+Assumptions!$B$5*S59+IF(T59="",0,Assumptions!$B$6*T59))/(Assumptions!$B$4+Assumptions!$B$5+IF(T59="",0,Assumptions!$B$6))</f>
        <v>23.246336996337</v>
      </c>
      <c r="V59" s="19" t="n">
        <f aca="false">RANK(U59,$U$2:$U$75)+COUNTIF($U$2:U59,U59)-1</f>
        <v>50</v>
      </c>
    </row>
    <row r="60" customFormat="false" ht="15" hidden="false" customHeight="false" outlineLevel="0" collapsed="false">
      <c r="A60" s="19" t="n">
        <v>5828</v>
      </c>
      <c r="B60" s="19" t="s">
        <v>391</v>
      </c>
      <c r="C60" s="19" t="s">
        <v>67</v>
      </c>
      <c r="D60" s="19" t="n">
        <v>59</v>
      </c>
      <c r="E60" s="19" t="n">
        <v>36</v>
      </c>
      <c r="F60" s="19" t="s">
        <v>179</v>
      </c>
      <c r="G60" s="19" t="n">
        <v>21</v>
      </c>
      <c r="H60" s="19" t="s">
        <v>110</v>
      </c>
      <c r="I60" s="19" t="n">
        <v>15</v>
      </c>
      <c r="J60" s="19" t="n">
        <v>0</v>
      </c>
      <c r="K60" s="19" t="n">
        <v>0</v>
      </c>
      <c r="L60" s="19" t="n">
        <f aca="false">SUMIF('Results 2026'!$B$2:$B$149,A60,'Results 2026'!$C$2:$C$149)</f>
        <v>10</v>
      </c>
      <c r="M60" s="19" t="n">
        <f aca="false">SUMIF('Results 2026'!$B$2:$B$149,A60,'Results 2026'!$D$2:$D$149)</f>
        <v>13</v>
      </c>
      <c r="N60" s="19" t="n">
        <f aca="false">SUMIF('Results 2026'!$B$2:$B$149,A60,'Results 2026'!$E$2:$E$149)</f>
        <v>0</v>
      </c>
      <c r="O60" s="29" t="n">
        <f aca="false">IF(ISERROR((L60+0.5*N60)/(L60+M60+N60)),0,(L60+0.5*N60)/(L60+M60+N60))</f>
        <v>0.434782608695652</v>
      </c>
      <c r="P60" s="20" t="n">
        <f aca="false">(G60+I60)/2</f>
        <v>18</v>
      </c>
      <c r="Q60" s="30"/>
      <c r="R60" s="20" t="n">
        <f aca="false">100*(P60-MIN($P$2:$P$75))/(MAX($P$2:$P$75)-MIN($P$2:$P$75))</f>
        <v>19.2857142857143</v>
      </c>
      <c r="S60" s="20" t="n">
        <f aca="false">100*(O60-MIN($O$2:$O$75))/(MAX($O$2:$O$75)-MIN($O$2:$O$75))</f>
        <v>26.5217391304348</v>
      </c>
      <c r="T60" s="20" t="str">
        <f aca="false">IF(OR(Q60="",COUNT($Q$2:$Q$75)&lt;2),"",100*(Q60-MIN($Q$2:$Q$75))/(MAX($Q$2:$Q$75)-MIN($Q$2:$Q$75)))</f>
        <v/>
      </c>
      <c r="U60" s="20" t="n">
        <f aca="false">(Assumptions!$B$4*R60+Assumptions!$B$5*S60+IF(T60="",0,Assumptions!$B$6*T60))/(Assumptions!$B$4+Assumptions!$B$5+IF(T60="",0,Assumptions!$B$6))</f>
        <v>22.0688007644529</v>
      </c>
      <c r="V60" s="19" t="n">
        <f aca="false">RANK(U60,$U$2:$U$75)+COUNTIF($U$2:U60,U60)-1</f>
        <v>53</v>
      </c>
    </row>
    <row r="61" customFormat="false" ht="15" hidden="false" customHeight="false" outlineLevel="0" collapsed="false">
      <c r="A61" s="19" t="n">
        <v>10338</v>
      </c>
      <c r="B61" s="19" t="s">
        <v>392</v>
      </c>
      <c r="C61" s="19" t="s">
        <v>393</v>
      </c>
      <c r="D61" s="19" t="n">
        <v>60</v>
      </c>
      <c r="E61" s="19" t="n">
        <v>34</v>
      </c>
      <c r="F61" s="19" t="s">
        <v>106</v>
      </c>
      <c r="G61" s="19" t="n">
        <v>12</v>
      </c>
      <c r="H61" s="19" t="s">
        <v>110</v>
      </c>
      <c r="I61" s="19" t="n">
        <v>17</v>
      </c>
      <c r="J61" s="19" t="n">
        <v>5</v>
      </c>
      <c r="K61" s="19" t="n">
        <v>0</v>
      </c>
      <c r="L61" s="19" t="n">
        <f aca="false">SUMIF('Results 2026'!$B$2:$B$149,A61,'Results 2026'!$C$2:$C$149)</f>
        <v>7</v>
      </c>
      <c r="M61" s="19" t="n">
        <f aca="false">SUMIF('Results 2026'!$B$2:$B$149,A61,'Results 2026'!$D$2:$D$149)</f>
        <v>16</v>
      </c>
      <c r="N61" s="19" t="n">
        <f aca="false">SUMIF('Results 2026'!$B$2:$B$149,A61,'Results 2026'!$E$2:$E$149)</f>
        <v>1</v>
      </c>
      <c r="O61" s="29" t="n">
        <f aca="false">IF(ISERROR((L61+0.5*N61)/(L61+M61+N61)),0,(L61+0.5*N61)/(L61+M61+N61))</f>
        <v>0.3125</v>
      </c>
      <c r="P61" s="20" t="n">
        <f aca="false">(G61+I61)/2</f>
        <v>14.5</v>
      </c>
      <c r="Q61" s="30"/>
      <c r="R61" s="20" t="n">
        <f aca="false">100*(P61-MIN($P$2:$P$75))/(MAX($P$2:$P$75)-MIN($P$2:$P$75))</f>
        <v>14.2857142857143</v>
      </c>
      <c r="S61" s="20" t="n">
        <f aca="false">100*(O61-MIN($O$2:$O$75))/(MAX($O$2:$O$75)-MIN($O$2:$O$75))</f>
        <v>10.625</v>
      </c>
      <c r="T61" s="20" t="str">
        <f aca="false">IF(OR(Q61="",COUNT($Q$2:$Q$75)&lt;2),"",100*(Q61-MIN($Q$2:$Q$75))/(MAX($Q$2:$Q$75)-MIN($Q$2:$Q$75)))</f>
        <v/>
      </c>
      <c r="U61" s="20" t="n">
        <f aca="false">(Assumptions!$B$4*R61+Assumptions!$B$5*S61+IF(T61="",0,Assumptions!$B$6*T61))/(Assumptions!$B$4+Assumptions!$B$5+IF(T61="",0,Assumptions!$B$6))</f>
        <v>12.8777472527473</v>
      </c>
      <c r="V61" s="19" t="n">
        <f aca="false">RANK(U61,$U$2:$U$75)+COUNTIF($U$2:U61,U61)-1</f>
        <v>63</v>
      </c>
    </row>
    <row r="62" customFormat="false" ht="15" hidden="false" customHeight="false" outlineLevel="0" collapsed="false">
      <c r="A62" s="19" t="n">
        <v>9086</v>
      </c>
      <c r="B62" s="19" t="s">
        <v>394</v>
      </c>
      <c r="C62" s="19" t="s">
        <v>395</v>
      </c>
      <c r="D62" s="19" t="n">
        <v>61</v>
      </c>
      <c r="E62" s="19" t="n">
        <v>33</v>
      </c>
      <c r="F62" s="19" t="s">
        <v>179</v>
      </c>
      <c r="G62" s="19" t="n">
        <v>23</v>
      </c>
      <c r="H62" s="19" t="s">
        <v>107</v>
      </c>
      <c r="I62" s="19" t="n">
        <v>10</v>
      </c>
      <c r="J62" s="19" t="n">
        <v>0</v>
      </c>
      <c r="K62" s="19" t="n">
        <v>0</v>
      </c>
      <c r="L62" s="19" t="n">
        <f aca="false">SUMIF('Results 2026'!$B$2:$B$149,A62,'Results 2026'!$C$2:$C$149)</f>
        <v>11</v>
      </c>
      <c r="M62" s="19" t="n">
        <f aca="false">SUMIF('Results 2026'!$B$2:$B$149,A62,'Results 2026'!$D$2:$D$149)</f>
        <v>13</v>
      </c>
      <c r="N62" s="19" t="n">
        <f aca="false">SUMIF('Results 2026'!$B$2:$B$149,A62,'Results 2026'!$E$2:$E$149)</f>
        <v>0</v>
      </c>
      <c r="O62" s="29" t="n">
        <f aca="false">IF(ISERROR((L62+0.5*N62)/(L62+M62+N62)),0,(L62+0.5*N62)/(L62+M62+N62))</f>
        <v>0.458333333333333</v>
      </c>
      <c r="P62" s="20" t="n">
        <f aca="false">(G62+I62)/2</f>
        <v>16.5</v>
      </c>
      <c r="Q62" s="30"/>
      <c r="R62" s="20" t="n">
        <f aca="false">100*(P62-MIN($P$2:$P$75))/(MAX($P$2:$P$75)-MIN($P$2:$P$75))</f>
        <v>17.1428571428571</v>
      </c>
      <c r="S62" s="20" t="n">
        <f aca="false">100*(O62-MIN($O$2:$O$75))/(MAX($O$2:$O$75)-MIN($O$2:$O$75))</f>
        <v>29.5833333333333</v>
      </c>
      <c r="T62" s="20" t="str">
        <f aca="false">IF(OR(Q62="",COUNT($Q$2:$Q$75)&lt;2),"",100*(Q62-MIN($Q$2:$Q$75))/(MAX($Q$2:$Q$75)-MIN($Q$2:$Q$75)))</f>
        <v/>
      </c>
      <c r="U62" s="20" t="n">
        <f aca="false">(Assumptions!$B$4*R62+Assumptions!$B$5*S62+IF(T62="",0,Assumptions!$B$6*T62))/(Assumptions!$B$4+Assumptions!$B$5+IF(T62="",0,Assumptions!$B$6))</f>
        <v>21.9276556776557</v>
      </c>
      <c r="V62" s="19" t="n">
        <f aca="false">RANK(U62,$U$2:$U$75)+COUNTIF($U$2:U62,U62)-1</f>
        <v>54</v>
      </c>
    </row>
    <row r="63" customFormat="false" ht="15" hidden="false" customHeight="false" outlineLevel="0" collapsed="false">
      <c r="A63" s="19" t="n">
        <v>9057</v>
      </c>
      <c r="B63" s="19" t="s">
        <v>396</v>
      </c>
      <c r="C63" s="19" t="s">
        <v>322</v>
      </c>
      <c r="D63" s="19" t="n">
        <v>62</v>
      </c>
      <c r="E63" s="19" t="n">
        <v>31</v>
      </c>
      <c r="F63" s="19" t="s">
        <v>108</v>
      </c>
      <c r="G63" s="19" t="n">
        <v>14</v>
      </c>
      <c r="H63" s="19" t="s">
        <v>179</v>
      </c>
      <c r="I63" s="19" t="n">
        <v>17</v>
      </c>
      <c r="J63" s="19" t="n">
        <v>0</v>
      </c>
      <c r="K63" s="19" t="n">
        <v>0</v>
      </c>
      <c r="L63" s="19" t="n">
        <f aca="false">SUMIF('Results 2026'!$B$2:$B$149,A63,'Results 2026'!$C$2:$C$149)</f>
        <v>6</v>
      </c>
      <c r="M63" s="19" t="n">
        <f aca="false">SUMIF('Results 2026'!$B$2:$B$149,A63,'Results 2026'!$D$2:$D$149)</f>
        <v>17</v>
      </c>
      <c r="N63" s="19" t="n">
        <f aca="false">SUMIF('Results 2026'!$B$2:$B$149,A63,'Results 2026'!$E$2:$E$149)</f>
        <v>1</v>
      </c>
      <c r="O63" s="29" t="n">
        <f aca="false">IF(ISERROR((L63+0.5*N63)/(L63+M63+N63)),0,(L63+0.5*N63)/(L63+M63+N63))</f>
        <v>0.270833333333333</v>
      </c>
      <c r="P63" s="20" t="n">
        <f aca="false">(G63+I63)/2</f>
        <v>15.5</v>
      </c>
      <c r="Q63" s="30"/>
      <c r="R63" s="20" t="n">
        <f aca="false">100*(P63-MIN($P$2:$P$75))/(MAX($P$2:$P$75)-MIN($P$2:$P$75))</f>
        <v>15.7142857142857</v>
      </c>
      <c r="S63" s="20" t="n">
        <f aca="false">100*(O63-MIN($O$2:$O$75))/(MAX($O$2:$O$75)-MIN($O$2:$O$75))</f>
        <v>5.20833333333333</v>
      </c>
      <c r="T63" s="20" t="str">
        <f aca="false">IF(OR(Q63="",COUNT($Q$2:$Q$75)&lt;2),"",100*(Q63-MIN($Q$2:$Q$75))/(MAX($Q$2:$Q$75)-MIN($Q$2:$Q$75)))</f>
        <v/>
      </c>
      <c r="U63" s="20" t="n">
        <f aca="false">(Assumptions!$B$4*R63+Assumptions!$B$5*S63+IF(T63="",0,Assumptions!$B$6*T63))/(Assumptions!$B$4+Assumptions!$B$5+IF(T63="",0,Assumptions!$B$6))</f>
        <v>11.6735347985348</v>
      </c>
      <c r="V63" s="19" t="n">
        <f aca="false">RANK(U63,$U$2:$U$75)+COUNTIF($U$2:U63,U63)-1</f>
        <v>64</v>
      </c>
    </row>
    <row r="64" customFormat="false" ht="15" hidden="false" customHeight="false" outlineLevel="0" collapsed="false">
      <c r="A64" s="19" t="n">
        <v>4468</v>
      </c>
      <c r="B64" s="19" t="s">
        <v>397</v>
      </c>
      <c r="C64" s="19" t="s">
        <v>322</v>
      </c>
      <c r="D64" s="19" t="n">
        <v>63</v>
      </c>
      <c r="E64" s="19" t="n">
        <v>31</v>
      </c>
      <c r="F64" s="19" t="s">
        <v>108</v>
      </c>
      <c r="G64" s="19" t="n">
        <v>18</v>
      </c>
      <c r="H64" s="19" t="s">
        <v>179</v>
      </c>
      <c r="I64" s="19" t="n">
        <v>13</v>
      </c>
      <c r="J64" s="19" t="n">
        <v>0</v>
      </c>
      <c r="K64" s="19" t="n">
        <v>0</v>
      </c>
      <c r="L64" s="19" t="n">
        <f aca="false">SUMIF('Results 2026'!$B$2:$B$149,A64,'Results 2026'!$C$2:$C$149)</f>
        <v>7</v>
      </c>
      <c r="M64" s="19" t="n">
        <f aca="false">SUMIF('Results 2026'!$B$2:$B$149,A64,'Results 2026'!$D$2:$D$149)</f>
        <v>16</v>
      </c>
      <c r="N64" s="19" t="n">
        <f aca="false">SUMIF('Results 2026'!$B$2:$B$149,A64,'Results 2026'!$E$2:$E$149)</f>
        <v>1</v>
      </c>
      <c r="O64" s="29" t="n">
        <f aca="false">IF(ISERROR((L64+0.5*N64)/(L64+M64+N64)),0,(L64+0.5*N64)/(L64+M64+N64))</f>
        <v>0.3125</v>
      </c>
      <c r="P64" s="20" t="n">
        <f aca="false">(G64+I64)/2</f>
        <v>15.5</v>
      </c>
      <c r="Q64" s="30"/>
      <c r="R64" s="20" t="n">
        <f aca="false">100*(P64-MIN($P$2:$P$75))/(MAX($P$2:$P$75)-MIN($P$2:$P$75))</f>
        <v>15.7142857142857</v>
      </c>
      <c r="S64" s="20" t="n">
        <f aca="false">100*(O64-MIN($O$2:$O$75))/(MAX($O$2:$O$75)-MIN($O$2:$O$75))</f>
        <v>10.625</v>
      </c>
      <c r="T64" s="20" t="str">
        <f aca="false">IF(OR(Q64="",COUNT($Q$2:$Q$75)&lt;2),"",100*(Q64-MIN($Q$2:$Q$75))/(MAX($Q$2:$Q$75)-MIN($Q$2:$Q$75)))</f>
        <v/>
      </c>
      <c r="U64" s="20" t="n">
        <f aca="false">(Assumptions!$B$4*R64+Assumptions!$B$5*S64+IF(T64="",0,Assumptions!$B$6*T64))/(Assumptions!$B$4+Assumptions!$B$5+IF(T64="",0,Assumptions!$B$6))</f>
        <v>13.7568681318681</v>
      </c>
      <c r="V64" s="19" t="n">
        <f aca="false">RANK(U64,$U$2:$U$75)+COUNTIF($U$2:U64,U64)-1</f>
        <v>62</v>
      </c>
    </row>
    <row r="65" customFormat="false" ht="15" hidden="false" customHeight="false" outlineLevel="0" collapsed="false">
      <c r="A65" s="19" t="n">
        <v>4459</v>
      </c>
      <c r="B65" s="19" t="s">
        <v>398</v>
      </c>
      <c r="C65" s="19" t="s">
        <v>399</v>
      </c>
      <c r="D65" s="19" t="n">
        <v>64</v>
      </c>
      <c r="E65" s="19" t="n">
        <v>29</v>
      </c>
      <c r="F65" s="19" t="s">
        <v>179</v>
      </c>
      <c r="G65" s="19" t="n">
        <v>4</v>
      </c>
      <c r="H65" s="19" t="s">
        <v>107</v>
      </c>
      <c r="I65" s="19" t="n">
        <v>25</v>
      </c>
      <c r="J65" s="19" t="n">
        <v>0</v>
      </c>
      <c r="K65" s="19" t="n">
        <v>0</v>
      </c>
      <c r="L65" s="19" t="n">
        <f aca="false">SUMIF('Results 2026'!$B$2:$B$149,A65,'Results 2026'!$C$2:$C$149)</f>
        <v>8</v>
      </c>
      <c r="M65" s="19" t="n">
        <f aca="false">SUMIF('Results 2026'!$B$2:$B$149,A65,'Results 2026'!$D$2:$D$149)</f>
        <v>8</v>
      </c>
      <c r="N65" s="19" t="n">
        <f aca="false">SUMIF('Results 2026'!$B$2:$B$149,A65,'Results 2026'!$E$2:$E$149)</f>
        <v>0</v>
      </c>
      <c r="O65" s="29" t="n">
        <f aca="false">IF(ISERROR((L65+0.5*N65)/(L65+M65+N65)),0,(L65+0.5*N65)/(L65+M65+N65))</f>
        <v>0.5</v>
      </c>
      <c r="P65" s="20" t="n">
        <f aca="false">(G65+I65)/2</f>
        <v>14.5</v>
      </c>
      <c r="Q65" s="30"/>
      <c r="R65" s="20" t="n">
        <f aca="false">100*(P65-MIN($P$2:$P$75))/(MAX($P$2:$P$75)-MIN($P$2:$P$75))</f>
        <v>14.2857142857143</v>
      </c>
      <c r="S65" s="20" t="n">
        <f aca="false">100*(O65-MIN($O$2:$O$75))/(MAX($O$2:$O$75)-MIN($O$2:$O$75))</f>
        <v>35</v>
      </c>
      <c r="T65" s="20" t="str">
        <f aca="false">IF(OR(Q65="",COUNT($Q$2:$Q$75)&lt;2),"",100*(Q65-MIN($Q$2:$Q$75))/(MAX($Q$2:$Q$75)-MIN($Q$2:$Q$75)))</f>
        <v/>
      </c>
      <c r="U65" s="20" t="n">
        <f aca="false">(Assumptions!$B$4*R65+Assumptions!$B$5*S65+IF(T65="",0,Assumptions!$B$6*T65))/(Assumptions!$B$4+Assumptions!$B$5+IF(T65="",0,Assumptions!$B$6))</f>
        <v>22.2527472527473</v>
      </c>
      <c r="V65" s="19" t="n">
        <f aca="false">RANK(U65,$U$2:$U$75)+COUNTIF($U$2:U65,U65)-1</f>
        <v>52</v>
      </c>
    </row>
    <row r="66" customFormat="false" ht="15" hidden="false" customHeight="false" outlineLevel="0" collapsed="false">
      <c r="A66" s="19" t="n">
        <v>7538</v>
      </c>
      <c r="B66" s="19" t="s">
        <v>400</v>
      </c>
      <c r="C66" s="19" t="s">
        <v>109</v>
      </c>
      <c r="D66" s="19" t="n">
        <v>65</v>
      </c>
      <c r="E66" s="19" t="n">
        <v>25</v>
      </c>
      <c r="F66" s="19" t="s">
        <v>108</v>
      </c>
      <c r="G66" s="19" t="n">
        <v>12</v>
      </c>
      <c r="H66" s="19" t="s">
        <v>110</v>
      </c>
      <c r="I66" s="19" t="n">
        <v>13</v>
      </c>
      <c r="J66" s="19" t="n">
        <v>0</v>
      </c>
      <c r="K66" s="19" t="n">
        <v>0</v>
      </c>
      <c r="L66" s="19" t="n">
        <f aca="false">SUMIF('Results 2026'!$B$2:$B$149,A66,'Results 2026'!$C$2:$C$149)</f>
        <v>7</v>
      </c>
      <c r="M66" s="19" t="n">
        <f aca="false">SUMIF('Results 2026'!$B$2:$B$149,A66,'Results 2026'!$D$2:$D$149)</f>
        <v>16</v>
      </c>
      <c r="N66" s="19" t="n">
        <f aca="false">SUMIF('Results 2026'!$B$2:$B$149,A66,'Results 2026'!$E$2:$E$149)</f>
        <v>1</v>
      </c>
      <c r="O66" s="29" t="n">
        <f aca="false">IF(ISERROR((L66+0.5*N66)/(L66+M66+N66)),0,(L66+0.5*N66)/(L66+M66+N66))</f>
        <v>0.3125</v>
      </c>
      <c r="P66" s="20" t="n">
        <f aca="false">(G66+I66)/2</f>
        <v>12.5</v>
      </c>
      <c r="Q66" s="30"/>
      <c r="R66" s="20" t="n">
        <f aca="false">100*(P66-MIN($P$2:$P$75))/(MAX($P$2:$P$75)-MIN($P$2:$P$75))</f>
        <v>11.4285714285714</v>
      </c>
      <c r="S66" s="20" t="n">
        <f aca="false">100*(O66-MIN($O$2:$O$75))/(MAX($O$2:$O$75)-MIN($O$2:$O$75))</f>
        <v>10.625</v>
      </c>
      <c r="T66" s="20" t="str">
        <f aca="false">IF(OR(Q66="",COUNT($Q$2:$Q$75)&lt;2),"",100*(Q66-MIN($Q$2:$Q$75))/(MAX($Q$2:$Q$75)-MIN($Q$2:$Q$75)))</f>
        <v/>
      </c>
      <c r="U66" s="20" t="n">
        <f aca="false">(Assumptions!$B$4*R66+Assumptions!$B$5*S66+IF(T66="",0,Assumptions!$B$6*T66))/(Assumptions!$B$4+Assumptions!$B$5+IF(T66="",0,Assumptions!$B$6))</f>
        <v>11.1195054945055</v>
      </c>
      <c r="V66" s="19" t="n">
        <f aca="false">RANK(U66,$U$2:$U$75)+COUNTIF($U$2:U66,U66)-1</f>
        <v>65</v>
      </c>
    </row>
    <row r="67" customFormat="false" ht="15" hidden="false" customHeight="false" outlineLevel="0" collapsed="false">
      <c r="A67" s="19" t="n">
        <v>8761</v>
      </c>
      <c r="B67" s="19" t="s">
        <v>401</v>
      </c>
      <c r="C67" s="19" t="s">
        <v>402</v>
      </c>
      <c r="D67" s="19" t="n">
        <v>66</v>
      </c>
      <c r="E67" s="19" t="n">
        <v>23</v>
      </c>
      <c r="F67" s="19" t="s">
        <v>106</v>
      </c>
      <c r="G67" s="19" t="n">
        <v>9</v>
      </c>
      <c r="H67" s="19" t="s">
        <v>107</v>
      </c>
      <c r="I67" s="19" t="n">
        <v>14</v>
      </c>
      <c r="J67" s="19" t="n">
        <v>0</v>
      </c>
      <c r="K67" s="19" t="n">
        <v>0</v>
      </c>
      <c r="L67" s="19" t="n">
        <f aca="false">SUMIF('Results 2026'!$B$2:$B$149,A67,'Results 2026'!$C$2:$C$149)</f>
        <v>7</v>
      </c>
      <c r="M67" s="19" t="n">
        <f aca="false">SUMIF('Results 2026'!$B$2:$B$149,A67,'Results 2026'!$D$2:$D$149)</f>
        <v>16</v>
      </c>
      <c r="N67" s="19" t="n">
        <f aca="false">SUMIF('Results 2026'!$B$2:$B$149,A67,'Results 2026'!$E$2:$E$149)</f>
        <v>1</v>
      </c>
      <c r="O67" s="29" t="n">
        <f aca="false">IF(ISERROR((L67+0.5*N67)/(L67+M67+N67)),0,(L67+0.5*N67)/(L67+M67+N67))</f>
        <v>0.3125</v>
      </c>
      <c r="P67" s="20" t="n">
        <f aca="false">(G67+I67)/2</f>
        <v>11.5</v>
      </c>
      <c r="Q67" s="30"/>
      <c r="R67" s="20" t="n">
        <f aca="false">100*(P67-MIN($P$2:$P$75))/(MAX($P$2:$P$75)-MIN($P$2:$P$75))</f>
        <v>10</v>
      </c>
      <c r="S67" s="20" t="n">
        <f aca="false">100*(O67-MIN($O$2:$O$75))/(MAX($O$2:$O$75)-MIN($O$2:$O$75))</f>
        <v>10.625</v>
      </c>
      <c r="T67" s="20" t="str">
        <f aca="false">IF(OR(Q67="",COUNT($Q$2:$Q$75)&lt;2),"",100*(Q67-MIN($Q$2:$Q$75))/(MAX($Q$2:$Q$75)-MIN($Q$2:$Q$75)))</f>
        <v/>
      </c>
      <c r="U67" s="20" t="n">
        <f aca="false">(Assumptions!$B$4*R67+Assumptions!$B$5*S67+IF(T67="",0,Assumptions!$B$6*T67))/(Assumptions!$B$4+Assumptions!$B$5+IF(T67="",0,Assumptions!$B$6))</f>
        <v>10.2403846153846</v>
      </c>
      <c r="V67" s="19" t="n">
        <f aca="false">RANK(U67,$U$2:$U$75)+COUNTIF($U$2:U67,U67)-1</f>
        <v>67</v>
      </c>
    </row>
    <row r="68" customFormat="false" ht="15" hidden="false" customHeight="false" outlineLevel="0" collapsed="false">
      <c r="A68" s="19" t="n">
        <v>6712</v>
      </c>
      <c r="B68" s="19" t="s">
        <v>403</v>
      </c>
      <c r="C68" s="19" t="s">
        <v>404</v>
      </c>
      <c r="D68" s="19" t="n">
        <v>67</v>
      </c>
      <c r="E68" s="19" t="n">
        <v>22</v>
      </c>
      <c r="F68" s="19" t="s">
        <v>106</v>
      </c>
      <c r="G68" s="19" t="n">
        <v>6</v>
      </c>
      <c r="H68" s="19" t="s">
        <v>107</v>
      </c>
      <c r="I68" s="19" t="n">
        <v>16</v>
      </c>
      <c r="J68" s="19" t="n">
        <v>0</v>
      </c>
      <c r="K68" s="19" t="n">
        <v>0</v>
      </c>
      <c r="L68" s="19" t="n">
        <f aca="false">SUMIF('Results 2026'!$B$2:$B$149,A68,'Results 2026'!$C$2:$C$149)</f>
        <v>8</v>
      </c>
      <c r="M68" s="19" t="n">
        <f aca="false">SUMIF('Results 2026'!$B$2:$B$149,A68,'Results 2026'!$D$2:$D$149)</f>
        <v>16</v>
      </c>
      <c r="N68" s="19" t="n">
        <f aca="false">SUMIF('Results 2026'!$B$2:$B$149,A68,'Results 2026'!$E$2:$E$149)</f>
        <v>0</v>
      </c>
      <c r="O68" s="29" t="n">
        <f aca="false">IF(ISERROR((L68+0.5*N68)/(L68+M68+N68)),0,(L68+0.5*N68)/(L68+M68+N68))</f>
        <v>0.333333333333333</v>
      </c>
      <c r="P68" s="20" t="n">
        <f aca="false">(G68+I68)/2</f>
        <v>11</v>
      </c>
      <c r="Q68" s="30"/>
      <c r="R68" s="20" t="n">
        <f aca="false">100*(P68-MIN($P$2:$P$75))/(MAX($P$2:$P$75)-MIN($P$2:$P$75))</f>
        <v>9.28571428571429</v>
      </c>
      <c r="S68" s="20" t="n">
        <f aca="false">100*(O68-MIN($O$2:$O$75))/(MAX($O$2:$O$75)-MIN($O$2:$O$75))</f>
        <v>13.3333333333333</v>
      </c>
      <c r="T68" s="20" t="str">
        <f aca="false">IF(OR(Q68="",COUNT($Q$2:$Q$75)&lt;2),"",100*(Q68-MIN($Q$2:$Q$75))/(MAX($Q$2:$Q$75)-MIN($Q$2:$Q$75)))</f>
        <v/>
      </c>
      <c r="U68" s="20" t="n">
        <f aca="false">(Assumptions!$B$4*R68+Assumptions!$B$5*S68+IF(T68="",0,Assumptions!$B$6*T68))/(Assumptions!$B$4+Assumptions!$B$5+IF(T68="",0,Assumptions!$B$6))</f>
        <v>10.8424908424908</v>
      </c>
      <c r="V68" s="19" t="n">
        <f aca="false">RANK(U68,$U$2:$U$75)+COUNTIF($U$2:U68,U68)-1</f>
        <v>66</v>
      </c>
    </row>
    <row r="69" customFormat="false" ht="15" hidden="false" customHeight="false" outlineLevel="0" collapsed="false">
      <c r="A69" s="19" t="n">
        <v>4240</v>
      </c>
      <c r="B69" s="19" t="s">
        <v>405</v>
      </c>
      <c r="C69" s="19" t="s">
        <v>67</v>
      </c>
      <c r="D69" s="19" t="n">
        <v>68</v>
      </c>
      <c r="E69" s="19" t="n">
        <v>22</v>
      </c>
      <c r="F69" s="19" t="s">
        <v>179</v>
      </c>
      <c r="G69" s="19" t="n">
        <v>8</v>
      </c>
      <c r="H69" s="19" t="s">
        <v>110</v>
      </c>
      <c r="I69" s="19" t="n">
        <v>14</v>
      </c>
      <c r="J69" s="19" t="n">
        <v>0</v>
      </c>
      <c r="K69" s="19" t="n">
        <v>0</v>
      </c>
      <c r="L69" s="19" t="n">
        <f aca="false">SUMIF('Results 2026'!$B$2:$B$149,A69,'Results 2026'!$C$2:$C$149)</f>
        <v>7</v>
      </c>
      <c r="M69" s="19" t="n">
        <f aca="false">SUMIF('Results 2026'!$B$2:$B$149,A69,'Results 2026'!$D$2:$D$149)</f>
        <v>17</v>
      </c>
      <c r="N69" s="19" t="n">
        <f aca="false">SUMIF('Results 2026'!$B$2:$B$149,A69,'Results 2026'!$E$2:$E$149)</f>
        <v>0</v>
      </c>
      <c r="O69" s="29" t="n">
        <f aca="false">IF(ISERROR((L69+0.5*N69)/(L69+M69+N69)),0,(L69+0.5*N69)/(L69+M69+N69))</f>
        <v>0.291666666666667</v>
      </c>
      <c r="P69" s="20" t="n">
        <f aca="false">(G69+I69)/2</f>
        <v>11</v>
      </c>
      <c r="Q69" s="30"/>
      <c r="R69" s="20" t="n">
        <f aca="false">100*(P69-MIN($P$2:$P$75))/(MAX($P$2:$P$75)-MIN($P$2:$P$75))</f>
        <v>9.28571428571429</v>
      </c>
      <c r="S69" s="20" t="n">
        <f aca="false">100*(O69-MIN($O$2:$O$75))/(MAX($O$2:$O$75)-MIN($O$2:$O$75))</f>
        <v>7.91666666666667</v>
      </c>
      <c r="T69" s="20" t="str">
        <f aca="false">IF(OR(Q69="",COUNT($Q$2:$Q$75)&lt;2),"",100*(Q69-MIN($Q$2:$Q$75))/(MAX($Q$2:$Q$75)-MIN($Q$2:$Q$75)))</f>
        <v/>
      </c>
      <c r="U69" s="20" t="n">
        <f aca="false">(Assumptions!$B$4*R69+Assumptions!$B$5*S69+IF(T69="",0,Assumptions!$B$6*T69))/(Assumptions!$B$4+Assumptions!$B$5+IF(T69="",0,Assumptions!$B$6))</f>
        <v>8.75915750915751</v>
      </c>
      <c r="V69" s="19" t="n">
        <f aca="false">RANK(U69,$U$2:$U$75)+COUNTIF($U$2:U69,U69)-1</f>
        <v>68</v>
      </c>
    </row>
    <row r="70" customFormat="false" ht="15" hidden="false" customHeight="false" outlineLevel="0" collapsed="false">
      <c r="A70" s="19" t="n">
        <v>4730</v>
      </c>
      <c r="B70" s="19" t="s">
        <v>406</v>
      </c>
      <c r="C70" s="19" t="s">
        <v>67</v>
      </c>
      <c r="D70" s="19" t="n">
        <v>69</v>
      </c>
      <c r="E70" s="19" t="n">
        <v>20</v>
      </c>
      <c r="F70" s="19" t="s">
        <v>106</v>
      </c>
      <c r="G70" s="19" t="n">
        <v>11</v>
      </c>
      <c r="H70" s="19" t="s">
        <v>110</v>
      </c>
      <c r="I70" s="19" t="n">
        <v>9</v>
      </c>
      <c r="J70" s="19" t="n">
        <v>0</v>
      </c>
      <c r="K70" s="19" t="n">
        <v>0</v>
      </c>
      <c r="L70" s="19" t="n">
        <f aca="false">SUMIF('Results 2026'!$B$2:$B$149,A70,'Results 2026'!$C$2:$C$149)</f>
        <v>7</v>
      </c>
      <c r="M70" s="19" t="n">
        <f aca="false">SUMIF('Results 2026'!$B$2:$B$149,A70,'Results 2026'!$D$2:$D$149)</f>
        <v>16</v>
      </c>
      <c r="N70" s="19" t="n">
        <f aca="false">SUMIF('Results 2026'!$B$2:$B$149,A70,'Results 2026'!$E$2:$E$149)</f>
        <v>0</v>
      </c>
      <c r="O70" s="29" t="n">
        <f aca="false">IF(ISERROR((L70+0.5*N70)/(L70+M70+N70)),0,(L70+0.5*N70)/(L70+M70+N70))</f>
        <v>0.304347826086957</v>
      </c>
      <c r="P70" s="20" t="n">
        <f aca="false">(G70+I70)/2</f>
        <v>10</v>
      </c>
      <c r="Q70" s="30"/>
      <c r="R70" s="20" t="n">
        <f aca="false">100*(P70-MIN($P$2:$P$75))/(MAX($P$2:$P$75)-MIN($P$2:$P$75))</f>
        <v>7.85714285714286</v>
      </c>
      <c r="S70" s="20" t="n">
        <f aca="false">100*(O70-MIN($O$2:$O$75))/(MAX($O$2:$O$75)-MIN($O$2:$O$75))</f>
        <v>9.56521739130435</v>
      </c>
      <c r="T70" s="20" t="str">
        <f aca="false">IF(OR(Q70="",COUNT($Q$2:$Q$75)&lt;2),"",100*(Q70-MIN($Q$2:$Q$75))/(MAX($Q$2:$Q$75)-MIN($Q$2:$Q$75)))</f>
        <v/>
      </c>
      <c r="U70" s="20" t="n">
        <f aca="false">(Assumptions!$B$4*R70+Assumptions!$B$5*S70+IF(T70="",0,Assumptions!$B$6*T70))/(Assumptions!$B$4+Assumptions!$B$5+IF(T70="",0,Assumptions!$B$6))</f>
        <v>8.51409460105112</v>
      </c>
      <c r="V70" s="19" t="n">
        <f aca="false">RANK(U70,$U$2:$U$75)+COUNTIF($U$2:U70,U70)-1</f>
        <v>69</v>
      </c>
    </row>
    <row r="71" customFormat="false" ht="15" hidden="false" customHeight="false" outlineLevel="0" collapsed="false">
      <c r="A71" s="19" t="n">
        <v>9582</v>
      </c>
      <c r="B71" s="19" t="s">
        <v>407</v>
      </c>
      <c r="C71" s="19" t="s">
        <v>408</v>
      </c>
      <c r="D71" s="19" t="n">
        <v>70</v>
      </c>
      <c r="E71" s="19" t="n">
        <v>16</v>
      </c>
      <c r="F71" s="19" t="s">
        <v>179</v>
      </c>
      <c r="G71" s="19" t="n">
        <v>8</v>
      </c>
      <c r="H71" s="19" t="s">
        <v>107</v>
      </c>
      <c r="I71" s="19" t="n">
        <v>8</v>
      </c>
      <c r="J71" s="19" t="n">
        <v>0</v>
      </c>
      <c r="K71" s="19" t="n">
        <v>0</v>
      </c>
      <c r="L71" s="19" t="n">
        <f aca="false">SUMIF('Results 2026'!$B$2:$B$149,A71,'Results 2026'!$C$2:$C$149)</f>
        <v>6</v>
      </c>
      <c r="M71" s="19" t="n">
        <f aca="false">SUMIF('Results 2026'!$B$2:$B$149,A71,'Results 2026'!$D$2:$D$149)</f>
        <v>13</v>
      </c>
      <c r="N71" s="19" t="n">
        <f aca="false">SUMIF('Results 2026'!$B$2:$B$149,A71,'Results 2026'!$E$2:$E$149)</f>
        <v>0</v>
      </c>
      <c r="O71" s="29" t="n">
        <f aca="false">IF(ISERROR((L71+0.5*N71)/(L71+M71+N71)),0,(L71+0.5*N71)/(L71+M71+N71))</f>
        <v>0.315789473684211</v>
      </c>
      <c r="P71" s="20" t="n">
        <f aca="false">(G71+I71)/2</f>
        <v>8</v>
      </c>
      <c r="Q71" s="30"/>
      <c r="R71" s="20" t="n">
        <f aca="false">100*(P71-MIN($P$2:$P$75))/(MAX($P$2:$P$75)-MIN($P$2:$P$75))</f>
        <v>5</v>
      </c>
      <c r="S71" s="20" t="n">
        <f aca="false">100*(O71-MIN($O$2:$O$75))/(MAX($O$2:$O$75)-MIN($O$2:$O$75))</f>
        <v>11.0526315789474</v>
      </c>
      <c r="T71" s="20" t="str">
        <f aca="false">IF(OR(Q71="",COUNT($Q$2:$Q$75)&lt;2),"",100*(Q71-MIN($Q$2:$Q$75))/(MAX($Q$2:$Q$75)-MIN($Q$2:$Q$75)))</f>
        <v/>
      </c>
      <c r="U71" s="20" t="n">
        <f aca="false">(Assumptions!$B$4*R71+Assumptions!$B$5*S71+IF(T71="",0,Assumptions!$B$6*T71))/(Assumptions!$B$4+Assumptions!$B$5+IF(T71="",0,Assumptions!$B$6))</f>
        <v>7.32793522267206</v>
      </c>
      <c r="V71" s="19" t="n">
        <f aca="false">RANK(U71,$U$2:$U$75)+COUNTIF($U$2:U71,U71)-1</f>
        <v>70</v>
      </c>
    </row>
    <row r="72" customFormat="false" ht="15" hidden="false" customHeight="false" outlineLevel="0" collapsed="false">
      <c r="A72" s="19" t="n">
        <v>2415</v>
      </c>
      <c r="B72" s="19" t="s">
        <v>409</v>
      </c>
      <c r="C72" s="19" t="s">
        <v>322</v>
      </c>
      <c r="D72" s="19" t="n">
        <v>71</v>
      </c>
      <c r="E72" s="19" t="n">
        <v>14</v>
      </c>
      <c r="F72" s="19" t="s">
        <v>108</v>
      </c>
      <c r="G72" s="19" t="n">
        <v>5</v>
      </c>
      <c r="H72" s="19" t="s">
        <v>107</v>
      </c>
      <c r="I72" s="19" t="n">
        <v>9</v>
      </c>
      <c r="J72" s="19" t="n">
        <v>0</v>
      </c>
      <c r="K72" s="19" t="n">
        <v>0</v>
      </c>
      <c r="L72" s="19" t="n">
        <f aca="false">SUMIF('Results 2026'!$B$2:$B$149,A72,'Results 2026'!$C$2:$C$149)</f>
        <v>6</v>
      </c>
      <c r="M72" s="19" t="n">
        <f aca="false">SUMIF('Results 2026'!$B$2:$B$149,A72,'Results 2026'!$D$2:$D$149)</f>
        <v>13</v>
      </c>
      <c r="N72" s="19" t="n">
        <f aca="false">SUMIF('Results 2026'!$B$2:$B$149,A72,'Results 2026'!$E$2:$E$149)</f>
        <v>1</v>
      </c>
      <c r="O72" s="29" t="n">
        <f aca="false">IF(ISERROR((L72+0.5*N72)/(L72+M72+N72)),0,(L72+0.5*N72)/(L72+M72+N72))</f>
        <v>0.325</v>
      </c>
      <c r="P72" s="20" t="n">
        <f aca="false">(G72+I72)/2</f>
        <v>7</v>
      </c>
      <c r="Q72" s="30"/>
      <c r="R72" s="20" t="n">
        <f aca="false">100*(P72-MIN($P$2:$P$75))/(MAX($P$2:$P$75)-MIN($P$2:$P$75))</f>
        <v>3.57142857142857</v>
      </c>
      <c r="S72" s="20" t="n">
        <f aca="false">100*(O72-MIN($O$2:$O$75))/(MAX($O$2:$O$75)-MIN($O$2:$O$75))</f>
        <v>12.25</v>
      </c>
      <c r="T72" s="20" t="str">
        <f aca="false">IF(OR(Q72="",COUNT($Q$2:$Q$75)&lt;2),"",100*(Q72-MIN($Q$2:$Q$75))/(MAX($Q$2:$Q$75)-MIN($Q$2:$Q$75)))</f>
        <v/>
      </c>
      <c r="U72" s="20" t="n">
        <f aca="false">(Assumptions!$B$4*R72+Assumptions!$B$5*S72+IF(T72="",0,Assumptions!$B$6*T72))/(Assumptions!$B$4+Assumptions!$B$5+IF(T72="",0,Assumptions!$B$6))</f>
        <v>6.90934065934066</v>
      </c>
      <c r="V72" s="19" t="n">
        <f aca="false">RANK(U72,$U$2:$U$75)+COUNTIF($U$2:U72,U72)-1</f>
        <v>71</v>
      </c>
    </row>
    <row r="73" customFormat="false" ht="15" hidden="false" customHeight="false" outlineLevel="0" collapsed="false">
      <c r="A73" s="19" t="n">
        <v>9770</v>
      </c>
      <c r="B73" s="19" t="s">
        <v>410</v>
      </c>
      <c r="C73" s="19" t="s">
        <v>322</v>
      </c>
      <c r="D73" s="19" t="n">
        <v>72</v>
      </c>
      <c r="E73" s="19" t="n">
        <v>14</v>
      </c>
      <c r="F73" s="19" t="s">
        <v>106</v>
      </c>
      <c r="G73" s="19" t="n">
        <v>9</v>
      </c>
      <c r="H73" s="19" t="s">
        <v>179</v>
      </c>
      <c r="I73" s="19" t="n">
        <v>5</v>
      </c>
      <c r="J73" s="19" t="n">
        <v>0</v>
      </c>
      <c r="K73" s="19" t="n">
        <v>0</v>
      </c>
      <c r="L73" s="19" t="n">
        <f aca="false">SUMIF('Results 2026'!$B$2:$B$149,A73,'Results 2026'!$C$2:$C$149)</f>
        <v>6</v>
      </c>
      <c r="M73" s="19" t="n">
        <f aca="false">SUMIF('Results 2026'!$B$2:$B$149,A73,'Results 2026'!$D$2:$D$149)</f>
        <v>17</v>
      </c>
      <c r="N73" s="19" t="n">
        <f aca="false">SUMIF('Results 2026'!$B$2:$B$149,A73,'Results 2026'!$E$2:$E$149)</f>
        <v>1</v>
      </c>
      <c r="O73" s="29" t="n">
        <f aca="false">IF(ISERROR((L73+0.5*N73)/(L73+M73+N73)),0,(L73+0.5*N73)/(L73+M73+N73))</f>
        <v>0.270833333333333</v>
      </c>
      <c r="P73" s="20" t="n">
        <f aca="false">(G73+I73)/2</f>
        <v>7</v>
      </c>
      <c r="Q73" s="30"/>
      <c r="R73" s="20" t="n">
        <f aca="false">100*(P73-MIN($P$2:$P$75))/(MAX($P$2:$P$75)-MIN($P$2:$P$75))</f>
        <v>3.57142857142857</v>
      </c>
      <c r="S73" s="20" t="n">
        <f aca="false">100*(O73-MIN($O$2:$O$75))/(MAX($O$2:$O$75)-MIN($O$2:$O$75))</f>
        <v>5.20833333333333</v>
      </c>
      <c r="T73" s="20" t="str">
        <f aca="false">IF(OR(Q73="",COUNT($Q$2:$Q$75)&lt;2),"",100*(Q73-MIN($Q$2:$Q$75))/(MAX($Q$2:$Q$75)-MIN($Q$2:$Q$75)))</f>
        <v/>
      </c>
      <c r="U73" s="20" t="n">
        <f aca="false">(Assumptions!$B$4*R73+Assumptions!$B$5*S73+IF(T73="",0,Assumptions!$B$6*T73))/(Assumptions!$B$4+Assumptions!$B$5+IF(T73="",0,Assumptions!$B$6))</f>
        <v>4.20100732600733</v>
      </c>
      <c r="V73" s="19" t="n">
        <f aca="false">RANK(U73,$U$2:$U$75)+COUNTIF($U$2:U73,U73)-1</f>
        <v>72</v>
      </c>
    </row>
    <row r="74" customFormat="false" ht="15" hidden="false" customHeight="false" outlineLevel="0" collapsed="false">
      <c r="A74" s="19" t="n">
        <v>8849</v>
      </c>
      <c r="B74" s="19" t="s">
        <v>411</v>
      </c>
      <c r="C74" s="19" t="s">
        <v>331</v>
      </c>
      <c r="D74" s="19" t="n">
        <v>73</v>
      </c>
      <c r="E74" s="19" t="n">
        <v>13</v>
      </c>
      <c r="F74" s="19" t="s">
        <v>106</v>
      </c>
      <c r="G74" s="19" t="n">
        <v>9</v>
      </c>
      <c r="H74" s="19" t="s">
        <v>107</v>
      </c>
      <c r="I74" s="19" t="n">
        <v>4</v>
      </c>
      <c r="J74" s="19" t="n">
        <v>0</v>
      </c>
      <c r="K74" s="19" t="n">
        <v>0</v>
      </c>
      <c r="L74" s="19" t="n">
        <f aca="false">SUMIF('Results 2026'!$B$2:$B$149,A74,'Results 2026'!$C$2:$C$149)</f>
        <v>5</v>
      </c>
      <c r="M74" s="19" t="n">
        <f aca="false">SUMIF('Results 2026'!$B$2:$B$149,A74,'Results 2026'!$D$2:$D$149)</f>
        <v>13</v>
      </c>
      <c r="N74" s="19" t="n">
        <f aca="false">SUMIF('Results 2026'!$B$2:$B$149,A74,'Results 2026'!$E$2:$E$149)</f>
        <v>0</v>
      </c>
      <c r="O74" s="29" t="n">
        <f aca="false">IF(ISERROR((L74+0.5*N74)/(L74+M74+N74)),0,(L74+0.5*N74)/(L74+M74+N74))</f>
        <v>0.277777777777778</v>
      </c>
      <c r="P74" s="20" t="n">
        <f aca="false">(G74+I74)/2</f>
        <v>6.5</v>
      </c>
      <c r="Q74" s="30"/>
      <c r="R74" s="20" t="n">
        <f aca="false">100*(P74-MIN($P$2:$P$75))/(MAX($P$2:$P$75)-MIN($P$2:$P$75))</f>
        <v>2.85714285714286</v>
      </c>
      <c r="S74" s="20" t="n">
        <f aca="false">100*(O74-MIN($O$2:$O$75))/(MAX($O$2:$O$75)-MIN($O$2:$O$75))</f>
        <v>6.11111111111111</v>
      </c>
      <c r="T74" s="20" t="str">
        <f aca="false">IF(OR(Q74="",COUNT($Q$2:$Q$75)&lt;2),"",100*(Q74-MIN($Q$2:$Q$75))/(MAX($Q$2:$Q$75)-MIN($Q$2:$Q$75)))</f>
        <v/>
      </c>
      <c r="U74" s="20" t="n">
        <f aca="false">(Assumptions!$B$4*R74+Assumptions!$B$5*S74+IF(T74="",0,Assumptions!$B$6*T74))/(Assumptions!$B$4+Assumptions!$B$5+IF(T74="",0,Assumptions!$B$6))</f>
        <v>4.10866910866911</v>
      </c>
      <c r="V74" s="19" t="n">
        <f aca="false">RANK(U74,$U$2:$U$75)+COUNTIF($U$2:U74,U74)-1</f>
        <v>73</v>
      </c>
    </row>
    <row r="75" customFormat="false" ht="15" hidden="false" customHeight="false" outlineLevel="0" collapsed="false">
      <c r="A75" s="19" t="n">
        <v>1795</v>
      </c>
      <c r="B75" s="19" t="s">
        <v>412</v>
      </c>
      <c r="C75" s="19" t="s">
        <v>322</v>
      </c>
      <c r="D75" s="19" t="n">
        <v>74</v>
      </c>
      <c r="E75" s="19" t="n">
        <v>9</v>
      </c>
      <c r="F75" s="19" t="s">
        <v>108</v>
      </c>
      <c r="G75" s="19" t="n">
        <v>4</v>
      </c>
      <c r="H75" s="19" t="s">
        <v>107</v>
      </c>
      <c r="I75" s="19" t="n">
        <v>5</v>
      </c>
      <c r="J75" s="19" t="n">
        <v>0</v>
      </c>
      <c r="K75" s="19" t="n">
        <v>0</v>
      </c>
      <c r="L75" s="19" t="n">
        <f aca="false">SUMIF('Results 2026'!$B$2:$B$149,A75,'Results 2026'!$C$2:$C$149)</f>
        <v>3</v>
      </c>
      <c r="M75" s="19" t="n">
        <f aca="false">SUMIF('Results 2026'!$B$2:$B$149,A75,'Results 2026'!$D$2:$D$149)</f>
        <v>10</v>
      </c>
      <c r="N75" s="19" t="n">
        <f aca="false">SUMIF('Results 2026'!$B$2:$B$149,A75,'Results 2026'!$E$2:$E$149)</f>
        <v>0</v>
      </c>
      <c r="O75" s="29" t="n">
        <f aca="false">IF(ISERROR((L75+0.5*N75)/(L75+M75+N75)),0,(L75+0.5*N75)/(L75+M75+N75))</f>
        <v>0.230769230769231</v>
      </c>
      <c r="P75" s="20" t="n">
        <f aca="false">(G75+I75)/2</f>
        <v>4.5</v>
      </c>
      <c r="Q75" s="30"/>
      <c r="R75" s="20" t="n">
        <f aca="false">100*(P75-MIN($P$2:$P$75))/(MAX($P$2:$P$75)-MIN($P$2:$P$75))</f>
        <v>0</v>
      </c>
      <c r="S75" s="20" t="n">
        <f aca="false">100*(O75-MIN($O$2:$O$75))/(MAX($O$2:$O$75)-MIN($O$2:$O$75))</f>
        <v>0</v>
      </c>
      <c r="T75" s="20" t="str">
        <f aca="false">IF(OR(Q75="",COUNT($Q$2:$Q$75)&lt;2),"",100*(Q75-MIN($Q$2:$Q$75))/(MAX($Q$2:$Q$75)-MIN($Q$2:$Q$75)))</f>
        <v/>
      </c>
      <c r="U75" s="20" t="n">
        <f aca="false">(Assumptions!$B$4*R75+Assumptions!$B$5*S75+IF(T75="",0,Assumptions!$B$6*T75))/(Assumptions!$B$4+Assumptions!$B$5+IF(T75="",0,Assumptions!$B$6))</f>
        <v>0</v>
      </c>
      <c r="V75" s="19" t="n">
        <f aca="false">RANK(U75,$U$2:$U$75)+COUNTIF($U$2:U75,U75)-1</f>
        <v>74</v>
      </c>
    </row>
    <row r="77" customFormat="false" ht="15" hidden="false" customHeight="false" outlineLevel="0" collapsed="false">
      <c r="A77" s="5" t="s">
        <v>413</v>
      </c>
    </row>
  </sheetData>
  <conditionalFormatting sqref="U2:U75">
    <cfRule type="cellIs" priority="2" operator="greaterThanOrEqual" aboveAverage="0" equalAverage="0" bottom="0" percent="0" rank="0" text="" dxfId="2">
      <formula>60</formula>
    </cfRule>
    <cfRule type="cellIs" priority="3" operator="lessThan" aboveAverage="0" equalAverage="0" bottom="0" percent="0" rank="0" text="" dxfId="3">
      <formula>25</formula>
    </cfRule>
  </conditionalFormatting>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legacyDrawing r:id="rId2"/>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I151"/>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1" topLeftCell="A2"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0" width="10"/>
    <col collapsed="false" customWidth="true" hidden="false" outlineLevel="0" max="2" min="2" style="0" width="9"/>
    <col collapsed="false" customWidth="true" hidden="false" outlineLevel="0" max="5" min="3" style="0" width="8"/>
    <col collapsed="false" customWidth="true" hidden="false" outlineLevel="0" max="6" min="6" style="0" width="10"/>
    <col collapsed="false" customWidth="true" hidden="false" outlineLevel="0" max="7" min="7" style="0" width="12"/>
    <col collapsed="false" customWidth="true" hidden="false" outlineLevel="0" max="8" min="8" style="0" width="13"/>
    <col collapsed="false" customWidth="true" hidden="false" outlineLevel="0" max="9" min="9" style="0" width="10"/>
  </cols>
  <sheetData>
    <row r="1" customFormat="false" ht="26.85" hidden="false" customHeight="false" outlineLevel="0" collapsed="false">
      <c r="A1" s="7" t="s">
        <v>40</v>
      </c>
      <c r="B1" s="7" t="s">
        <v>185</v>
      </c>
      <c r="C1" s="7" t="s">
        <v>294</v>
      </c>
      <c r="D1" s="7" t="s">
        <v>295</v>
      </c>
      <c r="E1" s="7" t="s">
        <v>296</v>
      </c>
      <c r="F1" s="7" t="s">
        <v>414</v>
      </c>
      <c r="G1" s="7" t="s">
        <v>415</v>
      </c>
      <c r="H1" s="7" t="s">
        <v>187</v>
      </c>
      <c r="I1" s="7" t="s">
        <v>186</v>
      </c>
    </row>
    <row r="2" customFormat="false" ht="15" hidden="false" customHeight="false" outlineLevel="0" collapsed="false">
      <c r="A2" s="19" t="s">
        <v>110</v>
      </c>
      <c r="B2" s="19" t="n">
        <v>4188</v>
      </c>
      <c r="C2" s="19" t="n">
        <v>11</v>
      </c>
      <c r="D2" s="19" t="n">
        <v>1</v>
      </c>
      <c r="E2" s="19" t="n">
        <v>0</v>
      </c>
      <c r="F2" s="19" t="n">
        <v>1</v>
      </c>
      <c r="G2" s="19" t="n">
        <f aca="false">IF(ISERROR(IF(INDEX(Strength!$F$2:$F$76,MATCH(B2,Strength!$A$2:$A$76,0))=A2,INDEX(Strength!$G$2:$G$76,MATCH(B2,Strength!$A$2:$A$76,0)),INDEX(Strength!$I$2:$I$76,MATCH(B2,Strength!$A$2:$A$76,0)))),"",IF(INDEX(Strength!$F$2:$F$76,MATCH(B2,Strength!$A$2:$A$76,0))=A2,INDEX(Strength!$G$2:$G$76,MATCH(B2,Strength!$A$2:$A$76,0)),INDEX(Strength!$I$2:$I$76,MATCH(B2,Strength!$A$2:$A$76,0))))</f>
        <v>66</v>
      </c>
      <c r="H2" s="19" t="n">
        <f aca="false">IF(ISERROR(INDEX(Strength!$V$2:$V$76,MATCH(B2,Strength!$A$2:$A$76,0))),"",INDEX(Strength!$V$2:$V$76,MATCH(B2,Strength!$A$2:$A$76,0)))</f>
        <v>2</v>
      </c>
      <c r="I2" s="20" t="n">
        <f aca="false">IF(ISERROR(INDEX(Strength!$U$2:$U$76,MATCH(B2,Strength!$A$2:$A$76,0))),0,INDEX(Strength!$U$2:$U$76,MATCH(B2,Strength!$A$2:$A$76,0)))</f>
        <v>93.1959706959707</v>
      </c>
    </row>
    <row r="3" customFormat="false" ht="15" hidden="false" customHeight="false" outlineLevel="0" collapsed="false">
      <c r="A3" s="19" t="s">
        <v>110</v>
      </c>
      <c r="B3" s="19" t="n">
        <v>1002</v>
      </c>
      <c r="C3" s="19" t="n">
        <v>11</v>
      </c>
      <c r="D3" s="19" t="n">
        <v>1</v>
      </c>
      <c r="E3" s="19" t="n">
        <v>0</v>
      </c>
      <c r="F3" s="19" t="n">
        <v>2</v>
      </c>
      <c r="G3" s="19" t="n">
        <f aca="false">IF(ISERROR(IF(INDEX(Strength!$F$2:$F$76,MATCH(B3,Strength!$A$2:$A$76,0))=A3,INDEX(Strength!$G$2:$G$76,MATCH(B3,Strength!$A$2:$A$76,0)),INDEX(Strength!$I$2:$I$76,MATCH(B3,Strength!$A$2:$A$76,0)))),"",IF(INDEX(Strength!$F$2:$F$76,MATCH(B3,Strength!$A$2:$A$76,0))=A3,INDEX(Strength!$G$2:$G$76,MATCH(B3,Strength!$A$2:$A$76,0)),INDEX(Strength!$I$2:$I$76,MATCH(B3,Strength!$A$2:$A$76,0))))</f>
        <v>71</v>
      </c>
      <c r="H3" s="19" t="n">
        <f aca="false">IF(ISERROR(INDEX(Strength!$V$2:$V$76,MATCH(B3,Strength!$A$2:$A$76,0))),"",INDEX(Strength!$V$2:$V$76,MATCH(B3,Strength!$A$2:$A$76,0)))</f>
        <v>3</v>
      </c>
      <c r="I3" s="20" t="n">
        <f aca="false">IF(ISERROR(INDEX(Strength!$U$2:$U$76,MATCH(B3,Strength!$A$2:$A$76,0))),0,INDEX(Strength!$U$2:$U$76,MATCH(B3,Strength!$A$2:$A$76,0)))</f>
        <v>93.0148112756808</v>
      </c>
    </row>
    <row r="4" customFormat="false" ht="15" hidden="false" customHeight="false" outlineLevel="0" collapsed="false">
      <c r="A4" s="19" t="s">
        <v>110</v>
      </c>
      <c r="B4" s="19" t="n">
        <v>1771</v>
      </c>
      <c r="C4" s="19" t="n">
        <v>10</v>
      </c>
      <c r="D4" s="19" t="n">
        <v>2</v>
      </c>
      <c r="E4" s="19" t="n">
        <v>0</v>
      </c>
      <c r="F4" s="19" t="n">
        <v>3</v>
      </c>
      <c r="G4" s="19" t="n">
        <f aca="false">IF(ISERROR(IF(INDEX(Strength!$F$2:$F$76,MATCH(B4,Strength!$A$2:$A$76,0))=A4,INDEX(Strength!$G$2:$G$76,MATCH(B4,Strength!$A$2:$A$76,0)),INDEX(Strength!$I$2:$I$76,MATCH(B4,Strength!$A$2:$A$76,0)))),"",IF(INDEX(Strength!$F$2:$F$76,MATCH(B4,Strength!$A$2:$A$76,0))=A4,INDEX(Strength!$G$2:$G$76,MATCH(B4,Strength!$A$2:$A$76,0)),INDEX(Strength!$I$2:$I$76,MATCH(B4,Strength!$A$2:$A$76,0))))</f>
        <v>60</v>
      </c>
      <c r="H4" s="19" t="n">
        <f aca="false">IF(ISERROR(INDEX(Strength!$V$2:$V$76,MATCH(B4,Strength!$A$2:$A$76,0))),"",INDEX(Strength!$V$2:$V$76,MATCH(B4,Strength!$A$2:$A$76,0)))</f>
        <v>5</v>
      </c>
      <c r="I4" s="20" t="n">
        <f aca="false">IF(ISERROR(INDEX(Strength!$U$2:$U$76,MATCH(B4,Strength!$A$2:$A$76,0))),0,INDEX(Strength!$U$2:$U$76,MATCH(B4,Strength!$A$2:$A$76,0)))</f>
        <v>84.1941391941392</v>
      </c>
    </row>
    <row r="5" customFormat="false" ht="15" hidden="false" customHeight="false" outlineLevel="0" collapsed="false">
      <c r="A5" s="19" t="s">
        <v>110</v>
      </c>
      <c r="B5" s="19" t="n">
        <v>6919</v>
      </c>
      <c r="C5" s="19" t="n">
        <v>8</v>
      </c>
      <c r="D5" s="19" t="n">
        <v>4</v>
      </c>
      <c r="E5" s="19" t="n">
        <v>0</v>
      </c>
      <c r="F5" s="19" t="n">
        <v>4</v>
      </c>
      <c r="G5" s="19" t="n">
        <f aca="false">IF(ISERROR(IF(INDEX(Strength!$F$2:$F$76,MATCH(B5,Strength!$A$2:$A$76,0))=A5,INDEX(Strength!$G$2:$G$76,MATCH(B5,Strength!$A$2:$A$76,0)),INDEX(Strength!$I$2:$I$76,MATCH(B5,Strength!$A$2:$A$76,0)))),"",IF(INDEX(Strength!$F$2:$F$76,MATCH(B5,Strength!$A$2:$A$76,0))=A5,INDEX(Strength!$G$2:$G$76,MATCH(B5,Strength!$A$2:$A$76,0)),INDEX(Strength!$I$2:$I$76,MATCH(B5,Strength!$A$2:$A$76,0))))</f>
        <v>74</v>
      </c>
      <c r="H5" s="19" t="n">
        <f aca="false">IF(ISERROR(INDEX(Strength!$V$2:$V$76,MATCH(B5,Strength!$A$2:$A$76,0))),"",INDEX(Strength!$V$2:$V$76,MATCH(B5,Strength!$A$2:$A$76,0)))</f>
        <v>4</v>
      </c>
      <c r="I5" s="20" t="n">
        <f aca="false">IF(ISERROR(INDEX(Strength!$U$2:$U$76,MATCH(B5,Strength!$A$2:$A$76,0))),0,INDEX(Strength!$U$2:$U$76,MATCH(B5,Strength!$A$2:$A$76,0)))</f>
        <v>86.6208791208791</v>
      </c>
    </row>
    <row r="6" customFormat="false" ht="15" hidden="false" customHeight="false" outlineLevel="0" collapsed="false">
      <c r="A6" s="19" t="s">
        <v>110</v>
      </c>
      <c r="B6" s="19" t="n">
        <v>5109</v>
      </c>
      <c r="C6" s="19" t="n">
        <v>8</v>
      </c>
      <c r="D6" s="19" t="n">
        <v>4</v>
      </c>
      <c r="E6" s="19" t="n">
        <v>0</v>
      </c>
      <c r="F6" s="19" t="n">
        <v>5</v>
      </c>
      <c r="G6" s="19" t="n">
        <f aca="false">IF(ISERROR(IF(INDEX(Strength!$F$2:$F$76,MATCH(B6,Strength!$A$2:$A$76,0))=A6,INDEX(Strength!$G$2:$G$76,MATCH(B6,Strength!$A$2:$A$76,0)),INDEX(Strength!$I$2:$I$76,MATCH(B6,Strength!$A$2:$A$76,0)))),"",IF(INDEX(Strength!$F$2:$F$76,MATCH(B6,Strength!$A$2:$A$76,0))=A6,INDEX(Strength!$G$2:$G$76,MATCH(B6,Strength!$A$2:$A$76,0)),INDEX(Strength!$I$2:$I$76,MATCH(B6,Strength!$A$2:$A$76,0))))</f>
        <v>45</v>
      </c>
      <c r="H6" s="19" t="n">
        <f aca="false">IF(ISERROR(INDEX(Strength!$V$2:$V$76,MATCH(B6,Strength!$A$2:$A$76,0))),"",INDEX(Strength!$V$2:$V$76,MATCH(B6,Strength!$A$2:$A$76,0)))</f>
        <v>16</v>
      </c>
      <c r="I6" s="20" t="n">
        <f aca="false">IF(ISERROR(INDEX(Strength!$U$2:$U$76,MATCH(B6,Strength!$A$2:$A$76,0))),0,INDEX(Strength!$U$2:$U$76,MATCH(B6,Strength!$A$2:$A$76,0)))</f>
        <v>50.8058608058608</v>
      </c>
    </row>
    <row r="7" customFormat="false" ht="15" hidden="false" customHeight="false" outlineLevel="0" collapsed="false">
      <c r="A7" s="19" t="s">
        <v>110</v>
      </c>
      <c r="B7" s="19" t="n">
        <v>6023</v>
      </c>
      <c r="C7" s="19" t="n">
        <v>8</v>
      </c>
      <c r="D7" s="19" t="n">
        <v>4</v>
      </c>
      <c r="E7" s="19" t="n">
        <v>0</v>
      </c>
      <c r="F7" s="19" t="n">
        <v>6</v>
      </c>
      <c r="G7" s="19" t="n">
        <f aca="false">IF(ISERROR(IF(INDEX(Strength!$F$2:$F$76,MATCH(B7,Strength!$A$2:$A$76,0))=A7,INDEX(Strength!$G$2:$G$76,MATCH(B7,Strength!$A$2:$A$76,0)),INDEX(Strength!$I$2:$I$76,MATCH(B7,Strength!$A$2:$A$76,0)))),"",IF(INDEX(Strength!$F$2:$F$76,MATCH(B7,Strength!$A$2:$A$76,0))=A7,INDEX(Strength!$G$2:$G$76,MATCH(B7,Strength!$A$2:$A$76,0)),INDEX(Strength!$I$2:$I$76,MATCH(B7,Strength!$A$2:$A$76,0))))</f>
        <v>37</v>
      </c>
      <c r="H7" s="19" t="n">
        <f aca="false">IF(ISERROR(INDEX(Strength!$V$2:$V$76,MATCH(B7,Strength!$A$2:$A$76,0))),"",INDEX(Strength!$V$2:$V$76,MATCH(B7,Strength!$A$2:$A$76,0)))</f>
        <v>30</v>
      </c>
      <c r="I7" s="20" t="n">
        <f aca="false">IF(ISERROR(INDEX(Strength!$U$2:$U$76,MATCH(B7,Strength!$A$2:$A$76,0))),0,INDEX(Strength!$U$2:$U$76,MATCH(B7,Strength!$A$2:$A$76,0)))</f>
        <v>37.3476523476524</v>
      </c>
    </row>
    <row r="8" customFormat="false" ht="15" hidden="false" customHeight="false" outlineLevel="0" collapsed="false">
      <c r="A8" s="19" t="s">
        <v>110</v>
      </c>
      <c r="B8" s="19" t="n">
        <v>1648</v>
      </c>
      <c r="C8" s="19" t="n">
        <v>8</v>
      </c>
      <c r="D8" s="19" t="n">
        <v>4</v>
      </c>
      <c r="E8" s="19" t="n">
        <v>0</v>
      </c>
      <c r="F8" s="19" t="n">
        <v>7</v>
      </c>
      <c r="G8" s="19" t="n">
        <f aca="false">IF(ISERROR(IF(INDEX(Strength!$F$2:$F$76,MATCH(B8,Strength!$A$2:$A$76,0))=A8,INDEX(Strength!$G$2:$G$76,MATCH(B8,Strength!$A$2:$A$76,0)),INDEX(Strength!$I$2:$I$76,MATCH(B8,Strength!$A$2:$A$76,0)))),"",IF(INDEX(Strength!$F$2:$F$76,MATCH(B8,Strength!$A$2:$A$76,0))=A8,INDEX(Strength!$G$2:$G$76,MATCH(B8,Strength!$A$2:$A$76,0)),INDEX(Strength!$I$2:$I$76,MATCH(B8,Strength!$A$2:$A$76,0))))</f>
        <v>28</v>
      </c>
      <c r="H8" s="19" t="n">
        <f aca="false">IF(ISERROR(INDEX(Strength!$V$2:$V$76,MATCH(B8,Strength!$A$2:$A$76,0))),"",INDEX(Strength!$V$2:$V$76,MATCH(B8,Strength!$A$2:$A$76,0)))</f>
        <v>12</v>
      </c>
      <c r="I8" s="20" t="n">
        <f aca="false">IF(ISERROR(INDEX(Strength!$U$2:$U$76,MATCH(B8,Strength!$A$2:$A$76,0))),0,INDEX(Strength!$U$2:$U$76,MATCH(B8,Strength!$A$2:$A$76,0)))</f>
        <v>55.6410256410256</v>
      </c>
    </row>
    <row r="9" customFormat="false" ht="15" hidden="false" customHeight="false" outlineLevel="0" collapsed="false">
      <c r="A9" s="19" t="s">
        <v>110</v>
      </c>
      <c r="B9" s="19" t="n">
        <v>9477</v>
      </c>
      <c r="C9" s="19" t="n">
        <v>8</v>
      </c>
      <c r="D9" s="19" t="n">
        <v>3</v>
      </c>
      <c r="E9" s="19" t="n">
        <v>0</v>
      </c>
      <c r="F9" s="19" t="n">
        <v>8</v>
      </c>
      <c r="G9" s="19" t="n">
        <f aca="false">IF(ISERROR(IF(INDEX(Strength!$F$2:$F$76,MATCH(B9,Strength!$A$2:$A$76,0))=A9,INDEX(Strength!$G$2:$G$76,MATCH(B9,Strength!$A$2:$A$76,0)),INDEX(Strength!$I$2:$I$76,MATCH(B9,Strength!$A$2:$A$76,0)))),"",IF(INDEX(Strength!$F$2:$F$76,MATCH(B9,Strength!$A$2:$A$76,0))=A9,INDEX(Strength!$G$2:$G$76,MATCH(B9,Strength!$A$2:$A$76,0)),INDEX(Strength!$I$2:$I$76,MATCH(B9,Strength!$A$2:$A$76,0))))</f>
        <v>33</v>
      </c>
      <c r="H9" s="19" t="n">
        <f aca="false">IF(ISERROR(INDEX(Strength!$V$2:$V$76,MATCH(B9,Strength!$A$2:$A$76,0))),"",INDEX(Strength!$V$2:$V$76,MATCH(B9,Strength!$A$2:$A$76,0)))</f>
        <v>14</v>
      </c>
      <c r="I9" s="20" t="n">
        <f aca="false">IF(ISERROR(INDEX(Strength!$U$2:$U$76,MATCH(B9,Strength!$A$2:$A$76,0))),0,INDEX(Strength!$U$2:$U$76,MATCH(B9,Strength!$A$2:$A$76,0)))</f>
        <v>54.8447204968944</v>
      </c>
    </row>
    <row r="10" customFormat="false" ht="15" hidden="false" customHeight="false" outlineLevel="0" collapsed="false">
      <c r="A10" s="19" t="s">
        <v>110</v>
      </c>
      <c r="B10" s="19" t="n">
        <v>1261</v>
      </c>
      <c r="C10" s="19" t="n">
        <v>6</v>
      </c>
      <c r="D10" s="19" t="n">
        <v>6</v>
      </c>
      <c r="E10" s="19" t="n">
        <v>0</v>
      </c>
      <c r="F10" s="19" t="n">
        <v>9</v>
      </c>
      <c r="G10" s="19" t="n">
        <f aca="false">IF(ISERROR(IF(INDEX(Strength!$F$2:$F$76,MATCH(B10,Strength!$A$2:$A$76,0))=A10,INDEX(Strength!$G$2:$G$76,MATCH(B10,Strength!$A$2:$A$76,0)),INDEX(Strength!$I$2:$I$76,MATCH(B10,Strength!$A$2:$A$76,0)))),"",IF(INDEX(Strength!$F$2:$F$76,MATCH(B10,Strength!$A$2:$A$76,0))=A10,INDEX(Strength!$G$2:$G$76,MATCH(B10,Strength!$A$2:$A$76,0)),INDEX(Strength!$I$2:$I$76,MATCH(B10,Strength!$A$2:$A$76,0))))</f>
        <v>40</v>
      </c>
      <c r="H10" s="19" t="n">
        <f aca="false">IF(ISERROR(INDEX(Strength!$V$2:$V$76,MATCH(B10,Strength!$A$2:$A$76,0))),"",INDEX(Strength!$V$2:$V$76,MATCH(B10,Strength!$A$2:$A$76,0)))</f>
        <v>15</v>
      </c>
      <c r="I10" s="20" t="n">
        <f aca="false">IF(ISERROR(INDEX(Strength!$U$2:$U$76,MATCH(B10,Strength!$A$2:$A$76,0))),0,INDEX(Strength!$U$2:$U$76,MATCH(B10,Strength!$A$2:$A$76,0)))</f>
        <v>53.6721611721612</v>
      </c>
    </row>
    <row r="11" customFormat="false" ht="15" hidden="false" customHeight="false" outlineLevel="0" collapsed="false">
      <c r="A11" s="19" t="s">
        <v>110</v>
      </c>
      <c r="B11" s="19" t="n">
        <v>6925</v>
      </c>
      <c r="C11" s="19" t="n">
        <v>6</v>
      </c>
      <c r="D11" s="19" t="n">
        <v>6</v>
      </c>
      <c r="E11" s="19" t="n">
        <v>0</v>
      </c>
      <c r="F11" s="19" t="n">
        <v>10</v>
      </c>
      <c r="G11" s="19" t="n">
        <f aca="false">IF(ISERROR(IF(INDEX(Strength!$F$2:$F$76,MATCH(B11,Strength!$A$2:$A$76,0))=A11,INDEX(Strength!$G$2:$G$76,MATCH(B11,Strength!$A$2:$A$76,0)),INDEX(Strength!$I$2:$I$76,MATCH(B11,Strength!$A$2:$A$76,0)))),"",IF(INDEX(Strength!$F$2:$F$76,MATCH(B11,Strength!$A$2:$A$76,0))=A11,INDEX(Strength!$G$2:$G$76,MATCH(B11,Strength!$A$2:$A$76,0)),INDEX(Strength!$I$2:$I$76,MATCH(B11,Strength!$A$2:$A$76,0))))</f>
        <v>26</v>
      </c>
      <c r="H11" s="19" t="n">
        <f aca="false">IF(ISERROR(INDEX(Strength!$V$2:$V$76,MATCH(B11,Strength!$A$2:$A$76,0))),"",INDEX(Strength!$V$2:$V$76,MATCH(B11,Strength!$A$2:$A$76,0)))</f>
        <v>25</v>
      </c>
      <c r="I11" s="20" t="n">
        <f aca="false">IF(ISERROR(INDEX(Strength!$U$2:$U$76,MATCH(B11,Strength!$A$2:$A$76,0))),0,INDEX(Strength!$U$2:$U$76,MATCH(B11,Strength!$A$2:$A$76,0)))</f>
        <v>39.720695970696</v>
      </c>
    </row>
    <row r="12" customFormat="false" ht="15" hidden="false" customHeight="false" outlineLevel="0" collapsed="false">
      <c r="A12" s="19" t="s">
        <v>110</v>
      </c>
      <c r="B12" s="19" t="n">
        <v>8080</v>
      </c>
      <c r="C12" s="19" t="n">
        <v>7</v>
      </c>
      <c r="D12" s="19" t="n">
        <v>5</v>
      </c>
      <c r="E12" s="19" t="n">
        <v>0</v>
      </c>
      <c r="F12" s="19" t="n">
        <v>11</v>
      </c>
      <c r="G12" s="19" t="n">
        <f aca="false">IF(ISERROR(IF(INDEX(Strength!$F$2:$F$76,MATCH(B12,Strength!$A$2:$A$76,0))=A12,INDEX(Strength!$G$2:$G$76,MATCH(B12,Strength!$A$2:$A$76,0)),INDEX(Strength!$I$2:$I$76,MATCH(B12,Strength!$A$2:$A$76,0)))),"",IF(INDEX(Strength!$F$2:$F$76,MATCH(B12,Strength!$A$2:$A$76,0))=A12,INDEX(Strength!$G$2:$G$76,MATCH(B12,Strength!$A$2:$A$76,0)),INDEX(Strength!$I$2:$I$76,MATCH(B12,Strength!$A$2:$A$76,0))))</f>
        <v>24</v>
      </c>
      <c r="H12" s="19" t="n">
        <f aca="false">IF(ISERROR(INDEX(Strength!$V$2:$V$76,MATCH(B12,Strength!$A$2:$A$76,0))),"",INDEX(Strength!$V$2:$V$76,MATCH(B12,Strength!$A$2:$A$76,0)))</f>
        <v>18</v>
      </c>
      <c r="I12" s="20" t="n">
        <f aca="false">IF(ISERROR(INDEX(Strength!$U$2:$U$76,MATCH(B12,Strength!$A$2:$A$76,0))),0,INDEX(Strength!$U$2:$U$76,MATCH(B12,Strength!$A$2:$A$76,0)))</f>
        <v>48.7225274725275</v>
      </c>
    </row>
    <row r="13" customFormat="false" ht="15" hidden="false" customHeight="false" outlineLevel="0" collapsed="false">
      <c r="A13" s="19" t="s">
        <v>110</v>
      </c>
      <c r="B13" s="19" t="n">
        <v>7514</v>
      </c>
      <c r="C13" s="19" t="n">
        <v>6</v>
      </c>
      <c r="D13" s="19" t="n">
        <v>6</v>
      </c>
      <c r="E13" s="19" t="n">
        <v>0</v>
      </c>
      <c r="F13" s="19" t="n">
        <v>12</v>
      </c>
      <c r="G13" s="19" t="n">
        <f aca="false">IF(ISERROR(IF(INDEX(Strength!$F$2:$F$76,MATCH(B13,Strength!$A$2:$A$76,0))=A13,INDEX(Strength!$G$2:$G$76,MATCH(B13,Strength!$A$2:$A$76,0)),INDEX(Strength!$I$2:$I$76,MATCH(B13,Strength!$A$2:$A$76,0)))),"",IF(INDEX(Strength!$F$2:$F$76,MATCH(B13,Strength!$A$2:$A$76,0))=A13,INDEX(Strength!$G$2:$G$76,MATCH(B13,Strength!$A$2:$A$76,0)),INDEX(Strength!$I$2:$I$76,MATCH(B13,Strength!$A$2:$A$76,0))))</f>
        <v>23</v>
      </c>
      <c r="H13" s="19" t="n">
        <f aca="false">IF(ISERROR(INDEX(Strength!$V$2:$V$76,MATCH(B13,Strength!$A$2:$A$76,0))),"",INDEX(Strength!$V$2:$V$76,MATCH(B13,Strength!$A$2:$A$76,0)))</f>
        <v>49</v>
      </c>
      <c r="I13" s="20" t="n">
        <f aca="false">IF(ISERROR(INDEX(Strength!$U$2:$U$76,MATCH(B13,Strength!$A$2:$A$76,0))),0,INDEX(Strength!$U$2:$U$76,MATCH(B13,Strength!$A$2:$A$76,0)))</f>
        <v>24.1254578754579</v>
      </c>
    </row>
    <row r="14" customFormat="false" ht="15" hidden="false" customHeight="false" outlineLevel="0" collapsed="false">
      <c r="A14" s="19" t="s">
        <v>110</v>
      </c>
      <c r="B14" s="19" t="n">
        <v>3091</v>
      </c>
      <c r="C14" s="19" t="n">
        <v>7</v>
      </c>
      <c r="D14" s="19" t="n">
        <v>3</v>
      </c>
      <c r="E14" s="19" t="n">
        <v>0</v>
      </c>
      <c r="F14" s="19" t="n">
        <v>13</v>
      </c>
      <c r="G14" s="19" t="n">
        <f aca="false">IF(ISERROR(IF(INDEX(Strength!$F$2:$F$76,MATCH(B14,Strength!$A$2:$A$76,0))=A14,INDEX(Strength!$G$2:$G$76,MATCH(B14,Strength!$A$2:$A$76,0)),INDEX(Strength!$I$2:$I$76,MATCH(B14,Strength!$A$2:$A$76,0)))),"",IF(INDEX(Strength!$F$2:$F$76,MATCH(B14,Strength!$A$2:$A$76,0))=A14,INDEX(Strength!$G$2:$G$76,MATCH(B14,Strength!$A$2:$A$76,0)),INDEX(Strength!$I$2:$I$76,MATCH(B14,Strength!$A$2:$A$76,0))))</f>
        <v>27</v>
      </c>
      <c r="H14" s="19" t="n">
        <f aca="false">IF(ISERROR(INDEX(Strength!$V$2:$V$76,MATCH(B14,Strength!$A$2:$A$76,0))),"",INDEX(Strength!$V$2:$V$76,MATCH(B14,Strength!$A$2:$A$76,0)))</f>
        <v>28</v>
      </c>
      <c r="I14" s="20" t="n">
        <f aca="false">IF(ISERROR(INDEX(Strength!$U$2:$U$76,MATCH(B14,Strength!$A$2:$A$76,0))),0,INDEX(Strength!$U$2:$U$76,MATCH(B14,Strength!$A$2:$A$76,0)))</f>
        <v>38.6663336663337</v>
      </c>
    </row>
    <row r="15" customFormat="false" ht="15" hidden="false" customHeight="false" outlineLevel="0" collapsed="false">
      <c r="A15" s="19" t="s">
        <v>110</v>
      </c>
      <c r="B15" s="19" t="n">
        <v>6910</v>
      </c>
      <c r="C15" s="19" t="n">
        <v>6</v>
      </c>
      <c r="D15" s="19" t="n">
        <v>6</v>
      </c>
      <c r="E15" s="19" t="n">
        <v>0</v>
      </c>
      <c r="F15" s="19" t="n">
        <v>14</v>
      </c>
      <c r="G15" s="19" t="n">
        <f aca="false">IF(ISERROR(IF(INDEX(Strength!$F$2:$F$76,MATCH(B15,Strength!$A$2:$A$76,0))=A15,INDEX(Strength!$G$2:$G$76,MATCH(B15,Strength!$A$2:$A$76,0)),INDEX(Strength!$I$2:$I$76,MATCH(B15,Strength!$A$2:$A$76,0)))),"",IF(INDEX(Strength!$F$2:$F$76,MATCH(B15,Strength!$A$2:$A$76,0))=A15,INDEX(Strength!$G$2:$G$76,MATCH(B15,Strength!$A$2:$A$76,0)),INDEX(Strength!$I$2:$I$76,MATCH(B15,Strength!$A$2:$A$76,0))))</f>
        <v>26</v>
      </c>
      <c r="H15" s="19" t="n">
        <f aca="false">IF(ISERROR(INDEX(Strength!$V$2:$V$76,MATCH(B15,Strength!$A$2:$A$76,0))),"",INDEX(Strength!$V$2:$V$76,MATCH(B15,Strength!$A$2:$A$76,0)))</f>
        <v>40</v>
      </c>
      <c r="I15" s="20" t="n">
        <f aca="false">IF(ISERROR(INDEX(Strength!$U$2:$U$76,MATCH(B15,Strength!$A$2:$A$76,0))),0,INDEX(Strength!$U$2:$U$76,MATCH(B15,Strength!$A$2:$A$76,0)))</f>
        <v>31.9230769230769</v>
      </c>
    </row>
    <row r="16" customFormat="false" ht="15" hidden="false" customHeight="false" outlineLevel="0" collapsed="false">
      <c r="A16" s="19" t="s">
        <v>110</v>
      </c>
      <c r="B16" s="19" t="n">
        <v>3635</v>
      </c>
      <c r="C16" s="19" t="n">
        <v>5</v>
      </c>
      <c r="D16" s="19" t="n">
        <v>7</v>
      </c>
      <c r="E16" s="19" t="n">
        <v>0</v>
      </c>
      <c r="F16" s="19" t="n">
        <v>15</v>
      </c>
      <c r="G16" s="19" t="n">
        <f aca="false">IF(ISERROR(IF(INDEX(Strength!$F$2:$F$76,MATCH(B16,Strength!$A$2:$A$76,0))=A16,INDEX(Strength!$G$2:$G$76,MATCH(B16,Strength!$A$2:$A$76,0)),INDEX(Strength!$I$2:$I$76,MATCH(B16,Strength!$A$2:$A$76,0)))),"",IF(INDEX(Strength!$F$2:$F$76,MATCH(B16,Strength!$A$2:$A$76,0))=A16,INDEX(Strength!$G$2:$G$76,MATCH(B16,Strength!$A$2:$A$76,0)),INDEX(Strength!$I$2:$I$76,MATCH(B16,Strength!$A$2:$A$76,0))))</f>
        <v>28</v>
      </c>
      <c r="H16" s="19" t="n">
        <f aca="false">IF(ISERROR(INDEX(Strength!$V$2:$V$76,MATCH(B16,Strength!$A$2:$A$76,0))),"",INDEX(Strength!$V$2:$V$76,MATCH(B16,Strength!$A$2:$A$76,0)))</f>
        <v>46</v>
      </c>
      <c r="I16" s="20" t="n">
        <f aca="false">IF(ISERROR(INDEX(Strength!$U$2:$U$76,MATCH(B16,Strength!$A$2:$A$76,0))),0,INDEX(Strength!$U$2:$U$76,MATCH(B16,Strength!$A$2:$A$76,0)))</f>
        <v>28.7980769230769</v>
      </c>
    </row>
    <row r="17" customFormat="false" ht="15" hidden="false" customHeight="false" outlineLevel="0" collapsed="false">
      <c r="A17" s="19" t="s">
        <v>110</v>
      </c>
      <c r="B17" s="19" t="n">
        <v>8736</v>
      </c>
      <c r="C17" s="19" t="n">
        <v>6</v>
      </c>
      <c r="D17" s="19" t="n">
        <v>6</v>
      </c>
      <c r="E17" s="19" t="n">
        <v>0</v>
      </c>
      <c r="F17" s="19" t="n">
        <v>16</v>
      </c>
      <c r="G17" s="19" t="n">
        <f aca="false">IF(ISERROR(IF(INDEX(Strength!$F$2:$F$76,MATCH(B17,Strength!$A$2:$A$76,0))=A17,INDEX(Strength!$G$2:$G$76,MATCH(B17,Strength!$A$2:$A$76,0)),INDEX(Strength!$I$2:$I$76,MATCH(B17,Strength!$A$2:$A$76,0)))),"",IF(INDEX(Strength!$F$2:$F$76,MATCH(B17,Strength!$A$2:$A$76,0))=A17,INDEX(Strength!$G$2:$G$76,MATCH(B17,Strength!$A$2:$A$76,0)),INDEX(Strength!$I$2:$I$76,MATCH(B17,Strength!$A$2:$A$76,0))))</f>
        <v>27</v>
      </c>
      <c r="H17" s="19" t="n">
        <f aca="false">IF(ISERROR(INDEX(Strength!$V$2:$V$76,MATCH(B17,Strength!$A$2:$A$76,0))),"",INDEX(Strength!$V$2:$V$76,MATCH(B17,Strength!$A$2:$A$76,0)))</f>
        <v>27</v>
      </c>
      <c r="I17" s="20" t="n">
        <f aca="false">IF(ISERROR(INDEX(Strength!$U$2:$U$76,MATCH(B17,Strength!$A$2:$A$76,0))),0,INDEX(Strength!$U$2:$U$76,MATCH(B17,Strength!$A$2:$A$76,0)))</f>
        <v>39.5581501831502</v>
      </c>
    </row>
    <row r="18" customFormat="false" ht="15" hidden="false" customHeight="false" outlineLevel="0" collapsed="false">
      <c r="A18" s="19" t="s">
        <v>110</v>
      </c>
      <c r="B18" s="19" t="n">
        <v>4701</v>
      </c>
      <c r="C18" s="19" t="n">
        <v>6</v>
      </c>
      <c r="D18" s="19" t="n">
        <v>6</v>
      </c>
      <c r="E18" s="19" t="n">
        <v>0</v>
      </c>
      <c r="F18" s="19" t="n">
        <v>17</v>
      </c>
      <c r="G18" s="19" t="n">
        <f aca="false">IF(ISERROR(IF(INDEX(Strength!$F$2:$F$76,MATCH(B18,Strength!$A$2:$A$76,0))=A18,INDEX(Strength!$G$2:$G$76,MATCH(B18,Strength!$A$2:$A$76,0)),INDEX(Strength!$I$2:$I$76,MATCH(B18,Strength!$A$2:$A$76,0)))),"",IF(INDEX(Strength!$F$2:$F$76,MATCH(B18,Strength!$A$2:$A$76,0))=A18,INDEX(Strength!$G$2:$G$76,MATCH(B18,Strength!$A$2:$A$76,0)),INDEX(Strength!$I$2:$I$76,MATCH(B18,Strength!$A$2:$A$76,0))))</f>
        <v>28</v>
      </c>
      <c r="H18" s="19" t="n">
        <f aca="false">IF(ISERROR(INDEX(Strength!$V$2:$V$76,MATCH(B18,Strength!$A$2:$A$76,0))),"",INDEX(Strength!$V$2:$V$76,MATCH(B18,Strength!$A$2:$A$76,0)))</f>
        <v>51</v>
      </c>
      <c r="I18" s="20" t="n">
        <f aca="false">IF(ISERROR(INDEX(Strength!$U$2:$U$76,MATCH(B18,Strength!$A$2:$A$76,0))),0,INDEX(Strength!$U$2:$U$76,MATCH(B18,Strength!$A$2:$A$76,0)))</f>
        <v>22.481684981685</v>
      </c>
    </row>
    <row r="19" customFormat="false" ht="15" hidden="false" customHeight="false" outlineLevel="0" collapsed="false">
      <c r="A19" s="19" t="s">
        <v>110</v>
      </c>
      <c r="B19" s="19" t="n">
        <v>8866</v>
      </c>
      <c r="C19" s="19" t="n">
        <v>4</v>
      </c>
      <c r="D19" s="19" t="n">
        <v>8</v>
      </c>
      <c r="E19" s="19" t="n">
        <v>0</v>
      </c>
      <c r="F19" s="19" t="n">
        <v>18</v>
      </c>
      <c r="G19" s="19" t="n">
        <f aca="false">IF(ISERROR(IF(INDEX(Strength!$F$2:$F$76,MATCH(B19,Strength!$A$2:$A$76,0))=A19,INDEX(Strength!$G$2:$G$76,MATCH(B19,Strength!$A$2:$A$76,0)),INDEX(Strength!$I$2:$I$76,MATCH(B19,Strength!$A$2:$A$76,0)))),"",IF(INDEX(Strength!$F$2:$F$76,MATCH(B19,Strength!$A$2:$A$76,0))=A19,INDEX(Strength!$G$2:$G$76,MATCH(B19,Strength!$A$2:$A$76,0)),INDEX(Strength!$I$2:$I$76,MATCH(B19,Strength!$A$2:$A$76,0))))</f>
        <v>43</v>
      </c>
      <c r="H19" s="19" t="n">
        <f aca="false">IF(ISERROR(INDEX(Strength!$V$2:$V$76,MATCH(B19,Strength!$A$2:$A$76,0))),"",INDEX(Strength!$V$2:$V$76,MATCH(B19,Strength!$A$2:$A$76,0)))</f>
        <v>36</v>
      </c>
      <c r="I19" s="20" t="n">
        <f aca="false">IF(ISERROR(INDEX(Strength!$U$2:$U$76,MATCH(B19,Strength!$A$2:$A$76,0))),0,INDEX(Strength!$U$2:$U$76,MATCH(B19,Strength!$A$2:$A$76,0)))</f>
        <v>34.9038461538462</v>
      </c>
    </row>
    <row r="20" customFormat="false" ht="15" hidden="false" customHeight="false" outlineLevel="0" collapsed="false">
      <c r="A20" s="19" t="s">
        <v>110</v>
      </c>
      <c r="B20" s="19" t="n">
        <v>5074</v>
      </c>
      <c r="C20" s="19" t="n">
        <v>4</v>
      </c>
      <c r="D20" s="19" t="n">
        <v>8</v>
      </c>
      <c r="E20" s="19" t="n">
        <v>0</v>
      </c>
      <c r="F20" s="19" t="n">
        <v>19</v>
      </c>
      <c r="G20" s="19" t="n">
        <f aca="false">IF(ISERROR(IF(INDEX(Strength!$F$2:$F$76,MATCH(B20,Strength!$A$2:$A$76,0))=A20,INDEX(Strength!$G$2:$G$76,MATCH(B20,Strength!$A$2:$A$76,0)),INDEX(Strength!$I$2:$I$76,MATCH(B20,Strength!$A$2:$A$76,0)))),"",IF(INDEX(Strength!$F$2:$F$76,MATCH(B20,Strength!$A$2:$A$76,0))=A20,INDEX(Strength!$G$2:$G$76,MATCH(B20,Strength!$A$2:$A$76,0)),INDEX(Strength!$I$2:$I$76,MATCH(B20,Strength!$A$2:$A$76,0))))</f>
        <v>16</v>
      </c>
      <c r="H20" s="19" t="n">
        <f aca="false">IF(ISERROR(INDEX(Strength!$V$2:$V$76,MATCH(B20,Strength!$A$2:$A$76,0))),"",INDEX(Strength!$V$2:$V$76,MATCH(B20,Strength!$A$2:$A$76,0)))</f>
        <v>57</v>
      </c>
      <c r="I20" s="20" t="n">
        <f aca="false">IF(ISERROR(INDEX(Strength!$U$2:$U$76,MATCH(B20,Strength!$A$2:$A$76,0))),0,INDEX(Strength!$U$2:$U$76,MATCH(B20,Strength!$A$2:$A$76,0)))</f>
        <v>19.9587912087912</v>
      </c>
    </row>
    <row r="21" customFormat="false" ht="15" hidden="false" customHeight="false" outlineLevel="0" collapsed="false">
      <c r="A21" s="19" t="s">
        <v>110</v>
      </c>
      <c r="B21" s="19" t="n">
        <v>5828</v>
      </c>
      <c r="C21" s="19" t="n">
        <v>5</v>
      </c>
      <c r="D21" s="19" t="n">
        <v>7</v>
      </c>
      <c r="E21" s="19" t="n">
        <v>0</v>
      </c>
      <c r="F21" s="19" t="n">
        <v>20</v>
      </c>
      <c r="G21" s="19" t="n">
        <f aca="false">IF(ISERROR(IF(INDEX(Strength!$F$2:$F$76,MATCH(B21,Strength!$A$2:$A$76,0))=A21,INDEX(Strength!$G$2:$G$76,MATCH(B21,Strength!$A$2:$A$76,0)),INDEX(Strength!$I$2:$I$76,MATCH(B21,Strength!$A$2:$A$76,0)))),"",IF(INDEX(Strength!$F$2:$F$76,MATCH(B21,Strength!$A$2:$A$76,0))=A21,INDEX(Strength!$G$2:$G$76,MATCH(B21,Strength!$A$2:$A$76,0)),INDEX(Strength!$I$2:$I$76,MATCH(B21,Strength!$A$2:$A$76,0))))</f>
        <v>15</v>
      </c>
      <c r="H21" s="19" t="n">
        <f aca="false">IF(ISERROR(INDEX(Strength!$V$2:$V$76,MATCH(B21,Strength!$A$2:$A$76,0))),"",INDEX(Strength!$V$2:$V$76,MATCH(B21,Strength!$A$2:$A$76,0)))</f>
        <v>53</v>
      </c>
      <c r="I21" s="20" t="n">
        <f aca="false">IF(ISERROR(INDEX(Strength!$U$2:$U$76,MATCH(B21,Strength!$A$2:$A$76,0))),0,INDEX(Strength!$U$2:$U$76,MATCH(B21,Strength!$A$2:$A$76,0)))</f>
        <v>22.0688007644529</v>
      </c>
    </row>
    <row r="22" customFormat="false" ht="15" hidden="false" customHeight="false" outlineLevel="0" collapsed="false">
      <c r="A22" s="19" t="s">
        <v>110</v>
      </c>
      <c r="B22" s="19" t="n">
        <v>6905</v>
      </c>
      <c r="C22" s="19" t="n">
        <v>4</v>
      </c>
      <c r="D22" s="19" t="n">
        <v>6</v>
      </c>
      <c r="E22" s="19" t="n">
        <v>0</v>
      </c>
      <c r="F22" s="19" t="n">
        <v>21</v>
      </c>
      <c r="G22" s="19" t="n">
        <f aca="false">IF(ISERROR(IF(INDEX(Strength!$F$2:$F$76,MATCH(B22,Strength!$A$2:$A$76,0))=A22,INDEX(Strength!$G$2:$G$76,MATCH(B22,Strength!$A$2:$A$76,0)),INDEX(Strength!$I$2:$I$76,MATCH(B22,Strength!$A$2:$A$76,0)))),"",IF(INDEX(Strength!$F$2:$F$76,MATCH(B22,Strength!$A$2:$A$76,0))=A22,INDEX(Strength!$G$2:$G$76,MATCH(B22,Strength!$A$2:$A$76,0)),INDEX(Strength!$I$2:$I$76,MATCH(B22,Strength!$A$2:$A$76,0))))</f>
        <v>37</v>
      </c>
      <c r="H22" s="19" t="n">
        <f aca="false">IF(ISERROR(INDEX(Strength!$V$2:$V$76,MATCH(B22,Strength!$A$2:$A$76,0))),"",INDEX(Strength!$V$2:$V$76,MATCH(B22,Strength!$A$2:$A$76,0)))</f>
        <v>45</v>
      </c>
      <c r="I22" s="20" t="n">
        <f aca="false">IF(ISERROR(INDEX(Strength!$U$2:$U$76,MATCH(B22,Strength!$A$2:$A$76,0))),0,INDEX(Strength!$U$2:$U$76,MATCH(B22,Strength!$A$2:$A$76,0)))</f>
        <v>29.4255744255744</v>
      </c>
    </row>
    <row r="23" customFormat="false" ht="15" hidden="false" customHeight="false" outlineLevel="0" collapsed="false">
      <c r="A23" s="19" t="s">
        <v>110</v>
      </c>
      <c r="B23" s="19" t="n">
        <v>4730</v>
      </c>
      <c r="C23" s="19" t="n">
        <v>4</v>
      </c>
      <c r="D23" s="19" t="n">
        <v>8</v>
      </c>
      <c r="E23" s="19" t="n">
        <v>0</v>
      </c>
      <c r="F23" s="19" t="n">
        <v>22</v>
      </c>
      <c r="G23" s="19" t="n">
        <f aca="false">IF(ISERROR(IF(INDEX(Strength!$F$2:$F$76,MATCH(B23,Strength!$A$2:$A$76,0))=A23,INDEX(Strength!$G$2:$G$76,MATCH(B23,Strength!$A$2:$A$76,0)),INDEX(Strength!$I$2:$I$76,MATCH(B23,Strength!$A$2:$A$76,0)))),"",IF(INDEX(Strength!$F$2:$F$76,MATCH(B23,Strength!$A$2:$A$76,0))=A23,INDEX(Strength!$G$2:$G$76,MATCH(B23,Strength!$A$2:$A$76,0)),INDEX(Strength!$I$2:$I$76,MATCH(B23,Strength!$A$2:$A$76,0))))</f>
        <v>9</v>
      </c>
      <c r="H23" s="19" t="n">
        <f aca="false">IF(ISERROR(INDEX(Strength!$V$2:$V$76,MATCH(B23,Strength!$A$2:$A$76,0))),"",INDEX(Strength!$V$2:$V$76,MATCH(B23,Strength!$A$2:$A$76,0)))</f>
        <v>69</v>
      </c>
      <c r="I23" s="20" t="n">
        <f aca="false">IF(ISERROR(INDEX(Strength!$U$2:$U$76,MATCH(B23,Strength!$A$2:$A$76,0))),0,INDEX(Strength!$U$2:$U$76,MATCH(B23,Strength!$A$2:$A$76,0)))</f>
        <v>8.51409460105112</v>
      </c>
    </row>
    <row r="24" customFormat="false" ht="15" hidden="false" customHeight="false" outlineLevel="0" collapsed="false">
      <c r="A24" s="19" t="s">
        <v>110</v>
      </c>
      <c r="B24" s="19" t="n">
        <v>4240</v>
      </c>
      <c r="C24" s="19" t="n">
        <v>4</v>
      </c>
      <c r="D24" s="19" t="n">
        <v>8</v>
      </c>
      <c r="E24" s="19" t="n">
        <v>0</v>
      </c>
      <c r="F24" s="19" t="n">
        <v>23</v>
      </c>
      <c r="G24" s="19" t="n">
        <f aca="false">IF(ISERROR(IF(INDEX(Strength!$F$2:$F$76,MATCH(B24,Strength!$A$2:$A$76,0))=A24,INDEX(Strength!$G$2:$G$76,MATCH(B24,Strength!$A$2:$A$76,0)),INDEX(Strength!$I$2:$I$76,MATCH(B24,Strength!$A$2:$A$76,0)))),"",IF(INDEX(Strength!$F$2:$F$76,MATCH(B24,Strength!$A$2:$A$76,0))=A24,INDEX(Strength!$G$2:$G$76,MATCH(B24,Strength!$A$2:$A$76,0)),INDEX(Strength!$I$2:$I$76,MATCH(B24,Strength!$A$2:$A$76,0))))</f>
        <v>14</v>
      </c>
      <c r="H24" s="19" t="n">
        <f aca="false">IF(ISERROR(INDEX(Strength!$V$2:$V$76,MATCH(B24,Strength!$A$2:$A$76,0))),"",INDEX(Strength!$V$2:$V$76,MATCH(B24,Strength!$A$2:$A$76,0)))</f>
        <v>68</v>
      </c>
      <c r="I24" s="20" t="n">
        <f aca="false">IF(ISERROR(INDEX(Strength!$U$2:$U$76,MATCH(B24,Strength!$A$2:$A$76,0))),0,INDEX(Strength!$U$2:$U$76,MATCH(B24,Strength!$A$2:$A$76,0)))</f>
        <v>8.75915750915751</v>
      </c>
    </row>
    <row r="25" customFormat="false" ht="15" hidden="false" customHeight="false" outlineLevel="0" collapsed="false">
      <c r="A25" s="19" t="s">
        <v>110</v>
      </c>
      <c r="B25" s="19" t="n">
        <v>8100</v>
      </c>
      <c r="C25" s="19" t="n">
        <v>4</v>
      </c>
      <c r="D25" s="19" t="n">
        <v>8</v>
      </c>
      <c r="E25" s="19" t="n">
        <v>0</v>
      </c>
      <c r="F25" s="19" t="n">
        <v>24</v>
      </c>
      <c r="G25" s="19" t="n">
        <f aca="false">IF(ISERROR(IF(INDEX(Strength!$F$2:$F$76,MATCH(B25,Strength!$A$2:$A$76,0))=A25,INDEX(Strength!$G$2:$G$76,MATCH(B25,Strength!$A$2:$A$76,0)),INDEX(Strength!$I$2:$I$76,MATCH(B25,Strength!$A$2:$A$76,0)))),"",IF(INDEX(Strength!$F$2:$F$76,MATCH(B25,Strength!$A$2:$A$76,0))=A25,INDEX(Strength!$G$2:$G$76,MATCH(B25,Strength!$A$2:$A$76,0)),INDEX(Strength!$I$2:$I$76,MATCH(B25,Strength!$A$2:$A$76,0))))</f>
        <v>15</v>
      </c>
      <c r="H25" s="19" t="n">
        <f aca="false">IF(ISERROR(INDEX(Strength!$V$2:$V$76,MATCH(B25,Strength!$A$2:$A$76,0))),"",INDEX(Strength!$V$2:$V$76,MATCH(B25,Strength!$A$2:$A$76,0)))</f>
        <v>61</v>
      </c>
      <c r="I25" s="20" t="n">
        <f aca="false">IF(ISERROR(INDEX(Strength!$U$2:$U$76,MATCH(B25,Strength!$A$2:$A$76,0))),0,INDEX(Strength!$U$2:$U$76,MATCH(B25,Strength!$A$2:$A$76,0)))</f>
        <v>17.4358974358974</v>
      </c>
    </row>
    <row r="26" customFormat="false" ht="15" hidden="false" customHeight="false" outlineLevel="0" collapsed="false">
      <c r="A26" s="19" t="s">
        <v>110</v>
      </c>
      <c r="B26" s="19" t="n">
        <v>7538</v>
      </c>
      <c r="C26" s="19" t="n">
        <v>3</v>
      </c>
      <c r="D26" s="19" t="n">
        <v>9</v>
      </c>
      <c r="E26" s="19" t="n">
        <v>0</v>
      </c>
      <c r="F26" s="19" t="n">
        <v>25</v>
      </c>
      <c r="G26" s="19" t="n">
        <f aca="false">IF(ISERROR(IF(INDEX(Strength!$F$2:$F$76,MATCH(B26,Strength!$A$2:$A$76,0))=A26,INDEX(Strength!$G$2:$G$76,MATCH(B26,Strength!$A$2:$A$76,0)),INDEX(Strength!$I$2:$I$76,MATCH(B26,Strength!$A$2:$A$76,0)))),"",IF(INDEX(Strength!$F$2:$F$76,MATCH(B26,Strength!$A$2:$A$76,0))=A26,INDEX(Strength!$G$2:$G$76,MATCH(B26,Strength!$A$2:$A$76,0)),INDEX(Strength!$I$2:$I$76,MATCH(B26,Strength!$A$2:$A$76,0))))</f>
        <v>13</v>
      </c>
      <c r="H26" s="19" t="n">
        <f aca="false">IF(ISERROR(INDEX(Strength!$V$2:$V$76,MATCH(B26,Strength!$A$2:$A$76,0))),"",INDEX(Strength!$V$2:$V$76,MATCH(B26,Strength!$A$2:$A$76,0)))</f>
        <v>65</v>
      </c>
      <c r="I26" s="20" t="n">
        <f aca="false">IF(ISERROR(INDEX(Strength!$U$2:$U$76,MATCH(B26,Strength!$A$2:$A$76,0))),0,INDEX(Strength!$U$2:$U$76,MATCH(B26,Strength!$A$2:$A$76,0)))</f>
        <v>11.1195054945055</v>
      </c>
    </row>
    <row r="27" customFormat="false" ht="15" hidden="false" customHeight="false" outlineLevel="0" collapsed="false">
      <c r="A27" s="19" t="s">
        <v>110</v>
      </c>
      <c r="B27" s="19" t="n">
        <v>11214</v>
      </c>
      <c r="C27" s="19" t="n">
        <v>3</v>
      </c>
      <c r="D27" s="19" t="n">
        <v>9</v>
      </c>
      <c r="E27" s="19" t="n">
        <v>0</v>
      </c>
      <c r="F27" s="19" t="n">
        <v>26</v>
      </c>
      <c r="G27" s="19" t="n">
        <f aca="false">IF(ISERROR(IF(INDEX(Strength!$F$2:$F$76,MATCH(B27,Strength!$A$2:$A$76,0))=A27,INDEX(Strength!$G$2:$G$76,MATCH(B27,Strength!$A$2:$A$76,0)),INDEX(Strength!$I$2:$I$76,MATCH(B27,Strength!$A$2:$A$76,0)))),"",IF(INDEX(Strength!$F$2:$F$76,MATCH(B27,Strength!$A$2:$A$76,0))=A27,INDEX(Strength!$G$2:$G$76,MATCH(B27,Strength!$A$2:$A$76,0)),INDEX(Strength!$I$2:$I$76,MATCH(B27,Strength!$A$2:$A$76,0))))</f>
        <v>32</v>
      </c>
      <c r="H27" s="19" t="n">
        <f aca="false">IF(ISERROR(INDEX(Strength!$V$2:$V$76,MATCH(B27,Strength!$A$2:$A$76,0))),"",INDEX(Strength!$V$2:$V$76,MATCH(B27,Strength!$A$2:$A$76,0)))</f>
        <v>43</v>
      </c>
      <c r="I27" s="20" t="n">
        <f aca="false">IF(ISERROR(INDEX(Strength!$U$2:$U$76,MATCH(B27,Strength!$A$2:$A$76,0))),0,INDEX(Strength!$U$2:$U$76,MATCH(B27,Strength!$A$2:$A$76,0)))</f>
        <v>30.9478021978022</v>
      </c>
    </row>
    <row r="28" customFormat="false" ht="15" hidden="false" customHeight="false" outlineLevel="0" collapsed="false">
      <c r="A28" s="19" t="s">
        <v>110</v>
      </c>
      <c r="B28" s="19" t="n">
        <v>10338</v>
      </c>
      <c r="C28" s="19" t="n">
        <v>2</v>
      </c>
      <c r="D28" s="19" t="n">
        <v>10</v>
      </c>
      <c r="E28" s="19" t="n">
        <v>0</v>
      </c>
      <c r="F28" s="19" t="n">
        <v>27</v>
      </c>
      <c r="G28" s="19" t="n">
        <f aca="false">IF(ISERROR(IF(INDEX(Strength!$F$2:$F$76,MATCH(B28,Strength!$A$2:$A$76,0))=A28,INDEX(Strength!$G$2:$G$76,MATCH(B28,Strength!$A$2:$A$76,0)),INDEX(Strength!$I$2:$I$76,MATCH(B28,Strength!$A$2:$A$76,0)))),"",IF(INDEX(Strength!$F$2:$F$76,MATCH(B28,Strength!$A$2:$A$76,0))=A28,INDEX(Strength!$G$2:$G$76,MATCH(B28,Strength!$A$2:$A$76,0)),INDEX(Strength!$I$2:$I$76,MATCH(B28,Strength!$A$2:$A$76,0))))</f>
        <v>17</v>
      </c>
      <c r="H28" s="19" t="n">
        <f aca="false">IF(ISERROR(INDEX(Strength!$V$2:$V$76,MATCH(B28,Strength!$A$2:$A$76,0))),"",INDEX(Strength!$V$2:$V$76,MATCH(B28,Strength!$A$2:$A$76,0)))</f>
        <v>63</v>
      </c>
      <c r="I28" s="20" t="n">
        <f aca="false">IF(ISERROR(INDEX(Strength!$U$2:$U$76,MATCH(B28,Strength!$A$2:$A$76,0))),0,INDEX(Strength!$U$2:$U$76,MATCH(B28,Strength!$A$2:$A$76,0)))</f>
        <v>12.8777472527473</v>
      </c>
    </row>
    <row r="29" customFormat="false" ht="15" hidden="false" customHeight="false" outlineLevel="0" collapsed="false">
      <c r="A29" s="19" t="s">
        <v>110</v>
      </c>
      <c r="B29" s="19" t="n">
        <v>7104</v>
      </c>
      <c r="C29" s="19" t="n">
        <v>1</v>
      </c>
      <c r="D29" s="19" t="n">
        <v>11</v>
      </c>
      <c r="E29" s="19" t="n">
        <v>0</v>
      </c>
      <c r="F29" s="19" t="n">
        <v>28</v>
      </c>
      <c r="G29" s="19" t="n">
        <f aca="false">IF(ISERROR(IF(INDEX(Strength!$F$2:$F$76,MATCH(B29,Strength!$A$2:$A$76,0))=A29,INDEX(Strength!$G$2:$G$76,MATCH(B29,Strength!$A$2:$A$76,0)),INDEX(Strength!$I$2:$I$76,MATCH(B29,Strength!$A$2:$A$76,0)))),"",IF(INDEX(Strength!$F$2:$F$76,MATCH(B29,Strength!$A$2:$A$76,0))=A29,INDEX(Strength!$G$2:$G$76,MATCH(B29,Strength!$A$2:$A$76,0)),INDEX(Strength!$I$2:$I$76,MATCH(B29,Strength!$A$2:$A$76,0))))</f>
        <v>9</v>
      </c>
      <c r="H29" s="19" t="n">
        <f aca="false">IF(ISERROR(INDEX(Strength!$V$2:$V$76,MATCH(B29,Strength!$A$2:$A$76,0))),"",INDEX(Strength!$V$2:$V$76,MATCH(B29,Strength!$A$2:$A$76,0)))</f>
        <v>56</v>
      </c>
      <c r="I29" s="20" t="n">
        <f aca="false">IF(ISERROR(INDEX(Strength!$U$2:$U$76,MATCH(B29,Strength!$A$2:$A$76,0))),0,INDEX(Strength!$U$2:$U$76,MATCH(B29,Strength!$A$2:$A$76,0)))</f>
        <v>20.6753663003663</v>
      </c>
    </row>
    <row r="30" customFormat="false" ht="15" hidden="false" customHeight="false" outlineLevel="0" collapsed="false">
      <c r="A30" s="19" t="s">
        <v>179</v>
      </c>
      <c r="B30" s="19" t="n">
        <v>2974</v>
      </c>
      <c r="C30" s="19" t="n">
        <v>12</v>
      </c>
      <c r="D30" s="19" t="n">
        <v>0</v>
      </c>
      <c r="E30" s="19" t="n">
        <v>0</v>
      </c>
      <c r="F30" s="19" t="n">
        <v>1</v>
      </c>
      <c r="G30" s="19" t="n">
        <f aca="false">IF(ISERROR(IF(INDEX(Strength!$F$2:$F$76,MATCH(B30,Strength!$A$2:$A$76,0))=A30,INDEX(Strength!$G$2:$G$76,MATCH(B30,Strength!$A$2:$A$76,0)),INDEX(Strength!$I$2:$I$76,MATCH(B30,Strength!$A$2:$A$76,0)))),"",IF(INDEX(Strength!$F$2:$F$76,MATCH(B30,Strength!$A$2:$A$76,0))=A30,INDEX(Strength!$G$2:$G$76,MATCH(B30,Strength!$A$2:$A$76,0)),INDEX(Strength!$I$2:$I$76,MATCH(B30,Strength!$A$2:$A$76,0))))</f>
        <v>73</v>
      </c>
      <c r="H30" s="19" t="n">
        <f aca="false">IF(ISERROR(INDEX(Strength!$V$2:$V$76,MATCH(B30,Strength!$A$2:$A$76,0))),"",INDEX(Strength!$V$2:$V$76,MATCH(B30,Strength!$A$2:$A$76,0)))</f>
        <v>6</v>
      </c>
      <c r="I30" s="20" t="n">
        <f aca="false">IF(ISERROR(INDEX(Strength!$U$2:$U$76,MATCH(B30,Strength!$A$2:$A$76,0))),0,INDEX(Strength!$U$2:$U$76,MATCH(B30,Strength!$A$2:$A$76,0)))</f>
        <v>82.0974677496417</v>
      </c>
    </row>
    <row r="31" customFormat="false" ht="15" hidden="false" customHeight="false" outlineLevel="0" collapsed="false">
      <c r="A31" s="19" t="s">
        <v>179</v>
      </c>
      <c r="B31" s="19" t="n">
        <v>4188</v>
      </c>
      <c r="C31" s="19" t="n">
        <v>11</v>
      </c>
      <c r="D31" s="19" t="n">
        <v>1</v>
      </c>
      <c r="E31" s="19" t="n">
        <v>0</v>
      </c>
      <c r="F31" s="19" t="n">
        <v>2</v>
      </c>
      <c r="G31" s="19" t="n">
        <f aca="false">IF(ISERROR(IF(INDEX(Strength!$F$2:$F$76,MATCH(B31,Strength!$A$2:$A$76,0))=A31,INDEX(Strength!$G$2:$G$76,MATCH(B31,Strength!$A$2:$A$76,0)),INDEX(Strength!$I$2:$I$76,MATCH(B31,Strength!$A$2:$A$76,0)))),"",IF(INDEX(Strength!$F$2:$F$76,MATCH(B31,Strength!$A$2:$A$76,0))=A31,INDEX(Strength!$G$2:$G$76,MATCH(B31,Strength!$A$2:$A$76,0)),INDEX(Strength!$I$2:$I$76,MATCH(B31,Strength!$A$2:$A$76,0))))</f>
        <v>77</v>
      </c>
      <c r="H31" s="19" t="n">
        <f aca="false">IF(ISERROR(INDEX(Strength!$V$2:$V$76,MATCH(B31,Strength!$A$2:$A$76,0))),"",INDEX(Strength!$V$2:$V$76,MATCH(B31,Strength!$A$2:$A$76,0)))</f>
        <v>2</v>
      </c>
      <c r="I31" s="20" t="n">
        <f aca="false">IF(ISERROR(INDEX(Strength!$U$2:$U$76,MATCH(B31,Strength!$A$2:$A$76,0))),0,INDEX(Strength!$U$2:$U$76,MATCH(B31,Strength!$A$2:$A$76,0)))</f>
        <v>93.1959706959707</v>
      </c>
    </row>
    <row r="32" customFormat="false" ht="15" hidden="false" customHeight="false" outlineLevel="0" collapsed="false">
      <c r="A32" s="19" t="s">
        <v>179</v>
      </c>
      <c r="B32" s="19" t="n">
        <v>832</v>
      </c>
      <c r="C32" s="19" t="n">
        <v>11</v>
      </c>
      <c r="D32" s="19" t="n">
        <v>1</v>
      </c>
      <c r="E32" s="19" t="n">
        <v>0</v>
      </c>
      <c r="F32" s="19" t="n">
        <v>3</v>
      </c>
      <c r="G32" s="19" t="n">
        <f aca="false">IF(ISERROR(IF(INDEX(Strength!$F$2:$F$76,MATCH(B32,Strength!$A$2:$A$76,0))=A32,INDEX(Strength!$G$2:$G$76,MATCH(B32,Strength!$A$2:$A$76,0)),INDEX(Strength!$I$2:$I$76,MATCH(B32,Strength!$A$2:$A$76,0)))),"",IF(INDEX(Strength!$F$2:$F$76,MATCH(B32,Strength!$A$2:$A$76,0))=A32,INDEX(Strength!$G$2:$G$76,MATCH(B32,Strength!$A$2:$A$76,0)),INDEX(Strength!$I$2:$I$76,MATCH(B32,Strength!$A$2:$A$76,0))))</f>
        <v>60</v>
      </c>
      <c r="H32" s="19" t="n">
        <f aca="false">IF(ISERROR(INDEX(Strength!$V$2:$V$76,MATCH(B32,Strength!$A$2:$A$76,0))),"",INDEX(Strength!$V$2:$V$76,MATCH(B32,Strength!$A$2:$A$76,0)))</f>
        <v>11</v>
      </c>
      <c r="I32" s="20" t="n">
        <f aca="false">IF(ISERROR(INDEX(Strength!$U$2:$U$76,MATCH(B32,Strength!$A$2:$A$76,0))),0,INDEX(Strength!$U$2:$U$76,MATCH(B32,Strength!$A$2:$A$76,0)))</f>
        <v>57.2847985347985</v>
      </c>
    </row>
    <row r="33" customFormat="false" ht="15" hidden="false" customHeight="false" outlineLevel="0" collapsed="false">
      <c r="A33" s="19" t="s">
        <v>179</v>
      </c>
      <c r="B33" s="19" t="n">
        <v>6829</v>
      </c>
      <c r="C33" s="19" t="n">
        <v>9</v>
      </c>
      <c r="D33" s="19" t="n">
        <v>3</v>
      </c>
      <c r="E33" s="19" t="n">
        <v>0</v>
      </c>
      <c r="F33" s="19" t="n">
        <v>4</v>
      </c>
      <c r="G33" s="19" t="n">
        <f aca="false">IF(ISERROR(IF(INDEX(Strength!$F$2:$F$76,MATCH(B33,Strength!$A$2:$A$76,0))=A33,INDEX(Strength!$G$2:$G$76,MATCH(B33,Strength!$A$2:$A$76,0)),INDEX(Strength!$I$2:$I$76,MATCH(B33,Strength!$A$2:$A$76,0)))),"",IF(INDEX(Strength!$F$2:$F$76,MATCH(B33,Strength!$A$2:$A$76,0))=A33,INDEX(Strength!$G$2:$G$76,MATCH(B33,Strength!$A$2:$A$76,0)),INDEX(Strength!$I$2:$I$76,MATCH(B33,Strength!$A$2:$A$76,0))))</f>
        <v>51</v>
      </c>
      <c r="H33" s="19" t="n">
        <f aca="false">IF(ISERROR(INDEX(Strength!$V$2:$V$76,MATCH(B33,Strength!$A$2:$A$76,0))),"",INDEX(Strength!$V$2:$V$76,MATCH(B33,Strength!$A$2:$A$76,0)))</f>
        <v>8</v>
      </c>
      <c r="I33" s="20" t="n">
        <f aca="false">IF(ISERROR(INDEX(Strength!$U$2:$U$76,MATCH(B33,Strength!$A$2:$A$76,0))),0,INDEX(Strength!$U$2:$U$76,MATCH(B33,Strength!$A$2:$A$76,0)))</f>
        <v>70.7967032967033</v>
      </c>
    </row>
    <row r="34" customFormat="false" ht="15" hidden="false" customHeight="false" outlineLevel="0" collapsed="false">
      <c r="A34" s="19" t="s">
        <v>179</v>
      </c>
      <c r="B34" s="19" t="n">
        <v>4026</v>
      </c>
      <c r="C34" s="19" t="n">
        <v>9</v>
      </c>
      <c r="D34" s="19" t="n">
        <v>3</v>
      </c>
      <c r="E34" s="19" t="n">
        <v>0</v>
      </c>
      <c r="F34" s="19" t="n">
        <v>5</v>
      </c>
      <c r="G34" s="19" t="n">
        <f aca="false">IF(ISERROR(IF(INDEX(Strength!$F$2:$F$76,MATCH(B34,Strength!$A$2:$A$76,0))=A34,INDEX(Strength!$G$2:$G$76,MATCH(B34,Strength!$A$2:$A$76,0)),INDEX(Strength!$I$2:$I$76,MATCH(B34,Strength!$A$2:$A$76,0)))),"",IF(INDEX(Strength!$F$2:$F$76,MATCH(B34,Strength!$A$2:$A$76,0))=A34,INDEX(Strength!$G$2:$G$76,MATCH(B34,Strength!$A$2:$A$76,0)),INDEX(Strength!$I$2:$I$76,MATCH(B34,Strength!$A$2:$A$76,0))))</f>
        <v>58</v>
      </c>
      <c r="H34" s="19" t="n">
        <f aca="false">IF(ISERROR(INDEX(Strength!$V$2:$V$76,MATCH(B34,Strength!$A$2:$A$76,0))),"",INDEX(Strength!$V$2:$V$76,MATCH(B34,Strength!$A$2:$A$76,0)))</f>
        <v>10</v>
      </c>
      <c r="I34" s="20" t="n">
        <f aca="false">IF(ISERROR(INDEX(Strength!$U$2:$U$76,MATCH(B34,Strength!$A$2:$A$76,0))),0,INDEX(Strength!$U$2:$U$76,MATCH(B34,Strength!$A$2:$A$76,0)))</f>
        <v>58.6034798534799</v>
      </c>
    </row>
    <row r="35" customFormat="false" ht="15" hidden="false" customHeight="false" outlineLevel="0" collapsed="false">
      <c r="A35" s="19" t="s">
        <v>179</v>
      </c>
      <c r="B35" s="19" t="n">
        <v>6925</v>
      </c>
      <c r="C35" s="19" t="n">
        <v>7</v>
      </c>
      <c r="D35" s="19" t="n">
        <v>5</v>
      </c>
      <c r="E35" s="19" t="n">
        <v>0</v>
      </c>
      <c r="F35" s="19" t="n">
        <v>6</v>
      </c>
      <c r="G35" s="19" t="n">
        <f aca="false">IF(ISERROR(IF(INDEX(Strength!$F$2:$F$76,MATCH(B35,Strength!$A$2:$A$76,0))=A35,INDEX(Strength!$G$2:$G$76,MATCH(B35,Strength!$A$2:$A$76,0)),INDEX(Strength!$I$2:$I$76,MATCH(B35,Strength!$A$2:$A$76,0)))),"",IF(INDEX(Strength!$F$2:$F$76,MATCH(B35,Strength!$A$2:$A$76,0))=A35,INDEX(Strength!$G$2:$G$76,MATCH(B35,Strength!$A$2:$A$76,0)),INDEX(Strength!$I$2:$I$76,MATCH(B35,Strength!$A$2:$A$76,0))))</f>
        <v>38</v>
      </c>
      <c r="H35" s="19" t="n">
        <f aca="false">IF(ISERROR(INDEX(Strength!$V$2:$V$76,MATCH(B35,Strength!$A$2:$A$76,0))),"",INDEX(Strength!$V$2:$V$76,MATCH(B35,Strength!$A$2:$A$76,0)))</f>
        <v>25</v>
      </c>
      <c r="I35" s="20" t="n">
        <f aca="false">IF(ISERROR(INDEX(Strength!$U$2:$U$76,MATCH(B35,Strength!$A$2:$A$76,0))),0,INDEX(Strength!$U$2:$U$76,MATCH(B35,Strength!$A$2:$A$76,0)))</f>
        <v>39.720695970696</v>
      </c>
    </row>
    <row r="36" customFormat="false" ht="15" hidden="false" customHeight="false" outlineLevel="0" collapsed="false">
      <c r="A36" s="19" t="s">
        <v>179</v>
      </c>
      <c r="B36" s="19" t="n">
        <v>3329</v>
      </c>
      <c r="C36" s="19" t="n">
        <v>7</v>
      </c>
      <c r="D36" s="19" t="n">
        <v>5</v>
      </c>
      <c r="E36" s="19" t="n">
        <v>0</v>
      </c>
      <c r="F36" s="19" t="n">
        <v>7</v>
      </c>
      <c r="G36" s="19" t="n">
        <f aca="false">IF(ISERROR(IF(INDEX(Strength!$F$2:$F$76,MATCH(B36,Strength!$A$2:$A$76,0))=A36,INDEX(Strength!$G$2:$G$76,MATCH(B36,Strength!$A$2:$A$76,0)),INDEX(Strength!$I$2:$I$76,MATCH(B36,Strength!$A$2:$A$76,0)))),"",IF(INDEX(Strength!$F$2:$F$76,MATCH(B36,Strength!$A$2:$A$76,0))=A36,INDEX(Strength!$G$2:$G$76,MATCH(B36,Strength!$A$2:$A$76,0)),INDEX(Strength!$I$2:$I$76,MATCH(B36,Strength!$A$2:$A$76,0))))</f>
        <v>30</v>
      </c>
      <c r="H36" s="19" t="n">
        <f aca="false">IF(ISERROR(INDEX(Strength!$V$2:$V$76,MATCH(B36,Strength!$A$2:$A$76,0))),"",INDEX(Strength!$V$2:$V$76,MATCH(B36,Strength!$A$2:$A$76,0)))</f>
        <v>26</v>
      </c>
      <c r="I36" s="20" t="n">
        <f aca="false">IF(ISERROR(INDEX(Strength!$U$2:$U$76,MATCH(B36,Strength!$A$2:$A$76,0))),0,INDEX(Strength!$U$2:$U$76,MATCH(B36,Strength!$A$2:$A$76,0)))</f>
        <v>39.720695970696</v>
      </c>
    </row>
    <row r="37" customFormat="false" ht="15" hidden="false" customHeight="false" outlineLevel="0" collapsed="false">
      <c r="A37" s="19" t="s">
        <v>179</v>
      </c>
      <c r="B37" s="19" t="n">
        <v>7104</v>
      </c>
      <c r="C37" s="19" t="n">
        <v>7</v>
      </c>
      <c r="D37" s="19" t="n">
        <v>4</v>
      </c>
      <c r="E37" s="19" t="n">
        <v>1</v>
      </c>
      <c r="F37" s="19" t="n">
        <v>8</v>
      </c>
      <c r="G37" s="19" t="n">
        <f aca="false">IF(ISERROR(IF(INDEX(Strength!$F$2:$F$76,MATCH(B37,Strength!$A$2:$A$76,0))=A37,INDEX(Strength!$G$2:$G$76,MATCH(B37,Strength!$A$2:$A$76,0)),INDEX(Strength!$I$2:$I$76,MATCH(B37,Strength!$A$2:$A$76,0)))),"",IF(INDEX(Strength!$F$2:$F$76,MATCH(B37,Strength!$A$2:$A$76,0))=A37,INDEX(Strength!$G$2:$G$76,MATCH(B37,Strength!$A$2:$A$76,0)),INDEX(Strength!$I$2:$I$76,MATCH(B37,Strength!$A$2:$A$76,0))))</f>
        <v>33</v>
      </c>
      <c r="H37" s="19" t="n">
        <f aca="false">IF(ISERROR(INDEX(Strength!$V$2:$V$76,MATCH(B37,Strength!$A$2:$A$76,0))),"",INDEX(Strength!$V$2:$V$76,MATCH(B37,Strength!$A$2:$A$76,0)))</f>
        <v>56</v>
      </c>
      <c r="I37" s="20" t="n">
        <f aca="false">IF(ISERROR(INDEX(Strength!$U$2:$U$76,MATCH(B37,Strength!$A$2:$A$76,0))),0,INDEX(Strength!$U$2:$U$76,MATCH(B37,Strength!$A$2:$A$76,0)))</f>
        <v>20.6753663003663</v>
      </c>
    </row>
    <row r="38" customFormat="false" ht="15" hidden="false" customHeight="false" outlineLevel="0" collapsed="false">
      <c r="A38" s="19" t="s">
        <v>179</v>
      </c>
      <c r="B38" s="19" t="n">
        <v>5900</v>
      </c>
      <c r="C38" s="19" t="n">
        <v>7</v>
      </c>
      <c r="D38" s="19" t="n">
        <v>5</v>
      </c>
      <c r="E38" s="19" t="n">
        <v>0</v>
      </c>
      <c r="F38" s="19" t="n">
        <v>9</v>
      </c>
      <c r="G38" s="19" t="n">
        <f aca="false">IF(ISERROR(IF(INDEX(Strength!$F$2:$F$76,MATCH(B38,Strength!$A$2:$A$76,0))=A38,INDEX(Strength!$G$2:$G$76,MATCH(B38,Strength!$A$2:$A$76,0)),INDEX(Strength!$I$2:$I$76,MATCH(B38,Strength!$A$2:$A$76,0)))),"",IF(INDEX(Strength!$F$2:$F$76,MATCH(B38,Strength!$A$2:$A$76,0))=A38,INDEX(Strength!$G$2:$G$76,MATCH(B38,Strength!$A$2:$A$76,0)),INDEX(Strength!$I$2:$I$76,MATCH(B38,Strength!$A$2:$A$76,0))))</f>
        <v>38</v>
      </c>
      <c r="H38" s="19" t="n">
        <f aca="false">IF(ISERROR(INDEX(Strength!$V$2:$V$76,MATCH(B38,Strength!$A$2:$A$76,0))),"",INDEX(Strength!$V$2:$V$76,MATCH(B38,Strength!$A$2:$A$76,0)))</f>
        <v>19</v>
      </c>
      <c r="I38" s="20" t="n">
        <f aca="false">IF(ISERROR(INDEX(Strength!$U$2:$U$76,MATCH(B38,Strength!$A$2:$A$76,0))),0,INDEX(Strength!$U$2:$U$76,MATCH(B38,Strength!$A$2:$A$76,0)))</f>
        <v>47.1932234432234</v>
      </c>
    </row>
    <row r="39" customFormat="false" ht="15" hidden="false" customHeight="false" outlineLevel="0" collapsed="false">
      <c r="A39" s="19" t="s">
        <v>179</v>
      </c>
      <c r="B39" s="19" t="n">
        <v>9480</v>
      </c>
      <c r="C39" s="19" t="n">
        <v>7</v>
      </c>
      <c r="D39" s="19" t="n">
        <v>5</v>
      </c>
      <c r="E39" s="19" t="n">
        <v>0</v>
      </c>
      <c r="F39" s="19" t="n">
        <v>10</v>
      </c>
      <c r="G39" s="19" t="n">
        <f aca="false">IF(ISERROR(IF(INDEX(Strength!$F$2:$F$76,MATCH(B39,Strength!$A$2:$A$76,0))=A39,INDEX(Strength!$G$2:$G$76,MATCH(B39,Strength!$A$2:$A$76,0)),INDEX(Strength!$I$2:$I$76,MATCH(B39,Strength!$A$2:$A$76,0)))),"",IF(INDEX(Strength!$F$2:$F$76,MATCH(B39,Strength!$A$2:$A$76,0))=A39,INDEX(Strength!$G$2:$G$76,MATCH(B39,Strength!$A$2:$A$76,0)),INDEX(Strength!$I$2:$I$76,MATCH(B39,Strength!$A$2:$A$76,0))))</f>
        <v>27</v>
      </c>
      <c r="H39" s="19" t="n">
        <f aca="false">IF(ISERROR(INDEX(Strength!$V$2:$V$76,MATCH(B39,Strength!$A$2:$A$76,0))),"",INDEX(Strength!$V$2:$V$76,MATCH(B39,Strength!$A$2:$A$76,0)))</f>
        <v>32</v>
      </c>
      <c r="I39" s="20" t="n">
        <f aca="false">IF(ISERROR(INDEX(Strength!$U$2:$U$76,MATCH(B39,Strength!$A$2:$A$76,0))),0,INDEX(Strength!$U$2:$U$76,MATCH(B39,Strength!$A$2:$A$76,0)))</f>
        <v>35.4876373626374</v>
      </c>
    </row>
    <row r="40" customFormat="false" ht="15" hidden="false" customHeight="false" outlineLevel="0" collapsed="false">
      <c r="A40" s="19" t="s">
        <v>179</v>
      </c>
      <c r="B40" s="19" t="n">
        <v>7451</v>
      </c>
      <c r="C40" s="19" t="n">
        <v>6</v>
      </c>
      <c r="D40" s="19" t="n">
        <v>6</v>
      </c>
      <c r="E40" s="19" t="n">
        <v>0</v>
      </c>
      <c r="F40" s="19" t="n">
        <v>11</v>
      </c>
      <c r="G40" s="19" t="n">
        <f aca="false">IF(ISERROR(IF(INDEX(Strength!$F$2:$F$76,MATCH(B40,Strength!$A$2:$A$76,0))=A40,INDEX(Strength!$G$2:$G$76,MATCH(B40,Strength!$A$2:$A$76,0)),INDEX(Strength!$I$2:$I$76,MATCH(B40,Strength!$A$2:$A$76,0)))),"",IF(INDEX(Strength!$F$2:$F$76,MATCH(B40,Strength!$A$2:$A$76,0))=A40,INDEX(Strength!$G$2:$G$76,MATCH(B40,Strength!$A$2:$A$76,0)),INDEX(Strength!$I$2:$I$76,MATCH(B40,Strength!$A$2:$A$76,0))))</f>
        <v>38</v>
      </c>
      <c r="H40" s="19" t="n">
        <f aca="false">IF(ISERROR(INDEX(Strength!$V$2:$V$76,MATCH(B40,Strength!$A$2:$A$76,0))),"",INDEX(Strength!$V$2:$V$76,MATCH(B40,Strength!$A$2:$A$76,0)))</f>
        <v>17</v>
      </c>
      <c r="I40" s="20" t="n">
        <f aca="false">IF(ISERROR(INDEX(Strength!$U$2:$U$76,MATCH(B40,Strength!$A$2:$A$76,0))),0,INDEX(Strength!$U$2:$U$76,MATCH(B40,Strength!$A$2:$A$76,0)))</f>
        <v>49.878663003663</v>
      </c>
    </row>
    <row r="41" customFormat="false" ht="15" hidden="false" customHeight="false" outlineLevel="0" collapsed="false">
      <c r="A41" s="19" t="s">
        <v>179</v>
      </c>
      <c r="B41" s="19" t="n">
        <v>1414</v>
      </c>
      <c r="C41" s="19" t="n">
        <v>5</v>
      </c>
      <c r="D41" s="19" t="n">
        <v>6</v>
      </c>
      <c r="E41" s="19" t="n">
        <v>1</v>
      </c>
      <c r="F41" s="19" t="n">
        <v>12</v>
      </c>
      <c r="G41" s="19" t="n">
        <f aca="false">IF(ISERROR(IF(INDEX(Strength!$F$2:$F$76,MATCH(B41,Strength!$A$2:$A$76,0))=A41,INDEX(Strength!$G$2:$G$76,MATCH(B41,Strength!$A$2:$A$76,0)),INDEX(Strength!$I$2:$I$76,MATCH(B41,Strength!$A$2:$A$76,0)))),"",IF(INDEX(Strength!$F$2:$F$76,MATCH(B41,Strength!$A$2:$A$76,0))=A41,INDEX(Strength!$G$2:$G$76,MATCH(B41,Strength!$A$2:$A$76,0)),INDEX(Strength!$I$2:$I$76,MATCH(B41,Strength!$A$2:$A$76,0))))</f>
        <v>29</v>
      </c>
      <c r="H41" s="19" t="n">
        <f aca="false">IF(ISERROR(INDEX(Strength!$V$2:$V$76,MATCH(B41,Strength!$A$2:$A$76,0))),"",INDEX(Strength!$V$2:$V$76,MATCH(B41,Strength!$A$2:$A$76,0)))</f>
        <v>24</v>
      </c>
      <c r="I41" s="20" t="n">
        <f aca="false">IF(ISERROR(INDEX(Strength!$U$2:$U$76,MATCH(B41,Strength!$A$2:$A$76,0))),0,INDEX(Strength!$U$2:$U$76,MATCH(B41,Strength!$A$2:$A$76,0)))</f>
        <v>42.3099816849817</v>
      </c>
    </row>
    <row r="42" customFormat="false" ht="15" hidden="false" customHeight="false" outlineLevel="0" collapsed="false">
      <c r="A42" s="19" t="s">
        <v>179</v>
      </c>
      <c r="B42" s="19" t="n">
        <v>9086</v>
      </c>
      <c r="C42" s="19" t="n">
        <v>6</v>
      </c>
      <c r="D42" s="19" t="n">
        <v>6</v>
      </c>
      <c r="E42" s="19" t="n">
        <v>0</v>
      </c>
      <c r="F42" s="19" t="n">
        <v>13</v>
      </c>
      <c r="G42" s="19" t="n">
        <f aca="false">IF(ISERROR(IF(INDEX(Strength!$F$2:$F$76,MATCH(B42,Strength!$A$2:$A$76,0))=A42,INDEX(Strength!$G$2:$G$76,MATCH(B42,Strength!$A$2:$A$76,0)),INDEX(Strength!$I$2:$I$76,MATCH(B42,Strength!$A$2:$A$76,0)))),"",IF(INDEX(Strength!$F$2:$F$76,MATCH(B42,Strength!$A$2:$A$76,0))=A42,INDEX(Strength!$G$2:$G$76,MATCH(B42,Strength!$A$2:$A$76,0)),INDEX(Strength!$I$2:$I$76,MATCH(B42,Strength!$A$2:$A$76,0))))</f>
        <v>23</v>
      </c>
      <c r="H42" s="19" t="n">
        <f aca="false">IF(ISERROR(INDEX(Strength!$V$2:$V$76,MATCH(B42,Strength!$A$2:$A$76,0))),"",INDEX(Strength!$V$2:$V$76,MATCH(B42,Strength!$A$2:$A$76,0)))</f>
        <v>54</v>
      </c>
      <c r="I42" s="20" t="n">
        <f aca="false">IF(ISERROR(INDEX(Strength!$U$2:$U$76,MATCH(B42,Strength!$A$2:$A$76,0))),0,INDEX(Strength!$U$2:$U$76,MATCH(B42,Strength!$A$2:$A$76,0)))</f>
        <v>21.9276556776557</v>
      </c>
    </row>
    <row r="43" customFormat="false" ht="15" hidden="false" customHeight="false" outlineLevel="0" collapsed="false">
      <c r="A43" s="19" t="s">
        <v>179</v>
      </c>
      <c r="B43" s="19" t="n">
        <v>3635</v>
      </c>
      <c r="C43" s="19" t="n">
        <v>5</v>
      </c>
      <c r="D43" s="19" t="n">
        <v>6</v>
      </c>
      <c r="E43" s="19" t="n">
        <v>1</v>
      </c>
      <c r="F43" s="19" t="n">
        <v>14</v>
      </c>
      <c r="G43" s="19" t="n">
        <f aca="false">IF(ISERROR(IF(INDEX(Strength!$F$2:$F$76,MATCH(B43,Strength!$A$2:$A$76,0))=A43,INDEX(Strength!$G$2:$G$76,MATCH(B43,Strength!$A$2:$A$76,0)),INDEX(Strength!$I$2:$I$76,MATCH(B43,Strength!$A$2:$A$76,0)))),"",IF(INDEX(Strength!$F$2:$F$76,MATCH(B43,Strength!$A$2:$A$76,0))=A43,INDEX(Strength!$G$2:$G$76,MATCH(B43,Strength!$A$2:$A$76,0)),INDEX(Strength!$I$2:$I$76,MATCH(B43,Strength!$A$2:$A$76,0))))</f>
        <v>23</v>
      </c>
      <c r="H43" s="19" t="n">
        <f aca="false">IF(ISERROR(INDEX(Strength!$V$2:$V$76,MATCH(B43,Strength!$A$2:$A$76,0))),"",INDEX(Strength!$V$2:$V$76,MATCH(B43,Strength!$A$2:$A$76,0)))</f>
        <v>46</v>
      </c>
      <c r="I43" s="20" t="n">
        <f aca="false">IF(ISERROR(INDEX(Strength!$U$2:$U$76,MATCH(B43,Strength!$A$2:$A$76,0))),0,INDEX(Strength!$U$2:$U$76,MATCH(B43,Strength!$A$2:$A$76,0)))</f>
        <v>28.7980769230769</v>
      </c>
    </row>
    <row r="44" customFormat="false" ht="15" hidden="false" customHeight="false" outlineLevel="0" collapsed="false">
      <c r="A44" s="19" t="s">
        <v>179</v>
      </c>
      <c r="B44" s="19" t="n">
        <v>4112</v>
      </c>
      <c r="C44" s="19" t="n">
        <v>6</v>
      </c>
      <c r="D44" s="19" t="n">
        <v>6</v>
      </c>
      <c r="E44" s="19" t="n">
        <v>0</v>
      </c>
      <c r="F44" s="19" t="n">
        <v>15</v>
      </c>
      <c r="G44" s="19" t="n">
        <f aca="false">IF(ISERROR(IF(INDEX(Strength!$F$2:$F$76,MATCH(B44,Strength!$A$2:$A$76,0))=A44,INDEX(Strength!$G$2:$G$76,MATCH(B44,Strength!$A$2:$A$76,0)),INDEX(Strength!$I$2:$I$76,MATCH(B44,Strength!$A$2:$A$76,0)))),"",IF(INDEX(Strength!$F$2:$F$76,MATCH(B44,Strength!$A$2:$A$76,0))=A44,INDEX(Strength!$G$2:$G$76,MATCH(B44,Strength!$A$2:$A$76,0)),INDEX(Strength!$I$2:$I$76,MATCH(B44,Strength!$A$2:$A$76,0))))</f>
        <v>20</v>
      </c>
      <c r="H44" s="19" t="n">
        <f aca="false">IF(ISERROR(INDEX(Strength!$V$2:$V$76,MATCH(B44,Strength!$A$2:$A$76,0))),"",INDEX(Strength!$V$2:$V$76,MATCH(B44,Strength!$A$2:$A$76,0)))</f>
        <v>42</v>
      </c>
      <c r="I44" s="20" t="n">
        <f aca="false">IF(ISERROR(INDEX(Strength!$U$2:$U$76,MATCH(B44,Strength!$A$2:$A$76,0))),0,INDEX(Strength!$U$2:$U$76,MATCH(B44,Strength!$A$2:$A$76,0)))</f>
        <v>31.043956043956</v>
      </c>
    </row>
    <row r="45" customFormat="false" ht="15" hidden="false" customHeight="false" outlineLevel="0" collapsed="false">
      <c r="A45" s="19" t="s">
        <v>179</v>
      </c>
      <c r="B45" s="19" t="n">
        <v>6772</v>
      </c>
      <c r="C45" s="19" t="n">
        <v>5</v>
      </c>
      <c r="D45" s="19" t="n">
        <v>6</v>
      </c>
      <c r="E45" s="19" t="n">
        <v>1</v>
      </c>
      <c r="F45" s="19" t="n">
        <v>16</v>
      </c>
      <c r="G45" s="19" t="n">
        <f aca="false">IF(ISERROR(IF(INDEX(Strength!$F$2:$F$76,MATCH(B45,Strength!$A$2:$A$76,0))=A45,INDEX(Strength!$G$2:$G$76,MATCH(B45,Strength!$A$2:$A$76,0)),INDEX(Strength!$I$2:$I$76,MATCH(B45,Strength!$A$2:$A$76,0)))),"",IF(INDEX(Strength!$F$2:$F$76,MATCH(B45,Strength!$A$2:$A$76,0))=A45,INDEX(Strength!$G$2:$G$76,MATCH(B45,Strength!$A$2:$A$76,0)),INDEX(Strength!$I$2:$I$76,MATCH(B45,Strength!$A$2:$A$76,0))))</f>
        <v>35</v>
      </c>
      <c r="H45" s="19" t="n">
        <f aca="false">IF(ISERROR(INDEX(Strength!$V$2:$V$76,MATCH(B45,Strength!$A$2:$A$76,0))),"",INDEX(Strength!$V$2:$V$76,MATCH(B45,Strength!$A$2:$A$76,0)))</f>
        <v>23</v>
      </c>
      <c r="I45" s="20" t="n">
        <f aca="false">IF(ISERROR(INDEX(Strength!$U$2:$U$76,MATCH(B45,Strength!$A$2:$A$76,0))),0,INDEX(Strength!$U$2:$U$76,MATCH(B45,Strength!$A$2:$A$76,0)))</f>
        <v>43.9537545787546</v>
      </c>
    </row>
    <row r="46" customFormat="false" ht="15" hidden="false" customHeight="false" outlineLevel="0" collapsed="false">
      <c r="A46" s="19" t="s">
        <v>179</v>
      </c>
      <c r="B46" s="19" t="n">
        <v>5608</v>
      </c>
      <c r="C46" s="19" t="n">
        <v>6</v>
      </c>
      <c r="D46" s="19" t="n">
        <v>6</v>
      </c>
      <c r="E46" s="19" t="n">
        <v>0</v>
      </c>
      <c r="F46" s="19" t="n">
        <v>17</v>
      </c>
      <c r="G46" s="19" t="n">
        <f aca="false">IF(ISERROR(IF(INDEX(Strength!$F$2:$F$76,MATCH(B46,Strength!$A$2:$A$76,0))=A46,INDEX(Strength!$G$2:$G$76,MATCH(B46,Strength!$A$2:$A$76,0)),INDEX(Strength!$I$2:$I$76,MATCH(B46,Strength!$A$2:$A$76,0)))),"",IF(INDEX(Strength!$F$2:$F$76,MATCH(B46,Strength!$A$2:$A$76,0))=A46,INDEX(Strength!$G$2:$G$76,MATCH(B46,Strength!$A$2:$A$76,0)),INDEX(Strength!$I$2:$I$76,MATCH(B46,Strength!$A$2:$A$76,0))))</f>
        <v>25</v>
      </c>
      <c r="H46" s="19" t="n">
        <f aca="false">IF(ISERROR(INDEX(Strength!$V$2:$V$76,MATCH(B46,Strength!$A$2:$A$76,0))),"",INDEX(Strength!$V$2:$V$76,MATCH(B46,Strength!$A$2:$A$76,0)))</f>
        <v>44</v>
      </c>
      <c r="I46" s="20" t="n">
        <f aca="false">IF(ISERROR(INDEX(Strength!$U$2:$U$76,MATCH(B46,Strength!$A$2:$A$76,0))),0,INDEX(Strength!$U$2:$U$76,MATCH(B46,Strength!$A$2:$A$76,0)))</f>
        <v>30.4443382704252</v>
      </c>
    </row>
    <row r="47" customFormat="false" ht="15" hidden="false" customHeight="false" outlineLevel="0" collapsed="false">
      <c r="A47" s="19" t="s">
        <v>179</v>
      </c>
      <c r="B47" s="19" t="n">
        <v>10376</v>
      </c>
      <c r="C47" s="19" t="n">
        <v>5</v>
      </c>
      <c r="D47" s="19" t="n">
        <v>7</v>
      </c>
      <c r="E47" s="19" t="n">
        <v>0</v>
      </c>
      <c r="F47" s="19" t="n">
        <v>18</v>
      </c>
      <c r="G47" s="19" t="n">
        <f aca="false">IF(ISERROR(IF(INDEX(Strength!$F$2:$F$76,MATCH(B47,Strength!$A$2:$A$76,0))=A47,INDEX(Strength!$G$2:$G$76,MATCH(B47,Strength!$A$2:$A$76,0)),INDEX(Strength!$I$2:$I$76,MATCH(B47,Strength!$A$2:$A$76,0)))),"",IF(INDEX(Strength!$F$2:$F$76,MATCH(B47,Strength!$A$2:$A$76,0))=A47,INDEX(Strength!$G$2:$G$76,MATCH(B47,Strength!$A$2:$A$76,0)),INDEX(Strength!$I$2:$I$76,MATCH(B47,Strength!$A$2:$A$76,0))))</f>
        <v>25</v>
      </c>
      <c r="H47" s="19" t="n">
        <f aca="false">IF(ISERROR(INDEX(Strength!$V$2:$V$76,MATCH(B47,Strength!$A$2:$A$76,0))),"",INDEX(Strength!$V$2:$V$76,MATCH(B47,Strength!$A$2:$A$76,0)))</f>
        <v>55</v>
      </c>
      <c r="I47" s="20" t="n">
        <f aca="false">IF(ISERROR(INDEX(Strength!$U$2:$U$76,MATCH(B47,Strength!$A$2:$A$76,0))),0,INDEX(Strength!$U$2:$U$76,MATCH(B47,Strength!$A$2:$A$76,0)))</f>
        <v>21.1630036630037</v>
      </c>
    </row>
    <row r="48" customFormat="false" ht="15" hidden="false" customHeight="false" outlineLevel="0" collapsed="false">
      <c r="A48" s="19" t="s">
        <v>179</v>
      </c>
      <c r="B48" s="19" t="n">
        <v>5828</v>
      </c>
      <c r="C48" s="19" t="n">
        <v>5</v>
      </c>
      <c r="D48" s="19" t="n">
        <v>6</v>
      </c>
      <c r="E48" s="19" t="n">
        <v>0</v>
      </c>
      <c r="F48" s="19" t="n">
        <v>19</v>
      </c>
      <c r="G48" s="19" t="n">
        <f aca="false">IF(ISERROR(IF(INDEX(Strength!$F$2:$F$76,MATCH(B48,Strength!$A$2:$A$76,0))=A48,INDEX(Strength!$G$2:$G$76,MATCH(B48,Strength!$A$2:$A$76,0)),INDEX(Strength!$I$2:$I$76,MATCH(B48,Strength!$A$2:$A$76,0)))),"",IF(INDEX(Strength!$F$2:$F$76,MATCH(B48,Strength!$A$2:$A$76,0))=A48,INDEX(Strength!$G$2:$G$76,MATCH(B48,Strength!$A$2:$A$76,0)),INDEX(Strength!$I$2:$I$76,MATCH(B48,Strength!$A$2:$A$76,0))))</f>
        <v>21</v>
      </c>
      <c r="H48" s="19" t="n">
        <f aca="false">IF(ISERROR(INDEX(Strength!$V$2:$V$76,MATCH(B48,Strength!$A$2:$A$76,0))),"",INDEX(Strength!$V$2:$V$76,MATCH(B48,Strength!$A$2:$A$76,0)))</f>
        <v>53</v>
      </c>
      <c r="I48" s="20" t="n">
        <f aca="false">IF(ISERROR(INDEX(Strength!$U$2:$U$76,MATCH(B48,Strength!$A$2:$A$76,0))),0,INDEX(Strength!$U$2:$U$76,MATCH(B48,Strength!$A$2:$A$76,0)))</f>
        <v>22.0688007644529</v>
      </c>
    </row>
    <row r="49" customFormat="false" ht="15" hidden="false" customHeight="false" outlineLevel="0" collapsed="false">
      <c r="A49" s="19" t="s">
        <v>179</v>
      </c>
      <c r="B49" s="19" t="n">
        <v>3344</v>
      </c>
      <c r="C49" s="19" t="n">
        <v>5</v>
      </c>
      <c r="D49" s="19" t="n">
        <v>7</v>
      </c>
      <c r="E49" s="19" t="n">
        <v>0</v>
      </c>
      <c r="F49" s="19" t="n">
        <v>20</v>
      </c>
      <c r="G49" s="19" t="n">
        <f aca="false">IF(ISERROR(IF(INDEX(Strength!$F$2:$F$76,MATCH(B49,Strength!$A$2:$A$76,0))=A49,INDEX(Strength!$G$2:$G$76,MATCH(B49,Strength!$A$2:$A$76,0)),INDEX(Strength!$I$2:$I$76,MATCH(B49,Strength!$A$2:$A$76,0)))),"",IF(INDEX(Strength!$F$2:$F$76,MATCH(B49,Strength!$A$2:$A$76,0))=A49,INDEX(Strength!$G$2:$G$76,MATCH(B49,Strength!$A$2:$A$76,0)),INDEX(Strength!$I$2:$I$76,MATCH(B49,Strength!$A$2:$A$76,0))))</f>
        <v>26</v>
      </c>
      <c r="H49" s="19" t="n">
        <f aca="false">IF(ISERROR(INDEX(Strength!$V$2:$V$76,MATCH(B49,Strength!$A$2:$A$76,0))),"",INDEX(Strength!$V$2:$V$76,MATCH(B49,Strength!$A$2:$A$76,0)))</f>
        <v>33</v>
      </c>
      <c r="I49" s="20" t="n">
        <f aca="false">IF(ISERROR(INDEX(Strength!$U$2:$U$76,MATCH(B49,Strength!$A$2:$A$76,0))),0,INDEX(Strength!$U$2:$U$76,MATCH(B49,Strength!$A$2:$A$76,0)))</f>
        <v>35.2289377289377</v>
      </c>
    </row>
    <row r="50" customFormat="false" ht="15" hidden="false" customHeight="false" outlineLevel="0" collapsed="false">
      <c r="A50" s="19" t="s">
        <v>179</v>
      </c>
      <c r="B50" s="19" t="n">
        <v>7676</v>
      </c>
      <c r="C50" s="19" t="n">
        <v>4</v>
      </c>
      <c r="D50" s="19" t="n">
        <v>8</v>
      </c>
      <c r="E50" s="19" t="n">
        <v>0</v>
      </c>
      <c r="F50" s="19" t="n">
        <v>21</v>
      </c>
      <c r="G50" s="19" t="n">
        <f aca="false">IF(ISERROR(IF(INDEX(Strength!$F$2:$F$76,MATCH(B50,Strength!$A$2:$A$76,0))=A50,INDEX(Strength!$G$2:$G$76,MATCH(B50,Strength!$A$2:$A$76,0)),INDEX(Strength!$I$2:$I$76,MATCH(B50,Strength!$A$2:$A$76,0)))),"",IF(INDEX(Strength!$F$2:$F$76,MATCH(B50,Strength!$A$2:$A$76,0))=A50,INDEX(Strength!$G$2:$G$76,MATCH(B50,Strength!$A$2:$A$76,0)),INDEX(Strength!$I$2:$I$76,MATCH(B50,Strength!$A$2:$A$76,0))))</f>
        <v>41</v>
      </c>
      <c r="H50" s="19" t="n">
        <f aca="false">IF(ISERROR(INDEX(Strength!$V$2:$V$76,MATCH(B50,Strength!$A$2:$A$76,0))),"",INDEX(Strength!$V$2:$V$76,MATCH(B50,Strength!$A$2:$A$76,0)))</f>
        <v>60</v>
      </c>
      <c r="I50" s="20" t="n">
        <f aca="false">IF(ISERROR(INDEX(Strength!$U$2:$U$76,MATCH(B50,Strength!$A$2:$A$76,0))),0,INDEX(Strength!$U$2:$U$76,MATCH(B50,Strength!$A$2:$A$76,0)))</f>
        <v>17.827380952381</v>
      </c>
    </row>
    <row r="51" customFormat="false" ht="15" hidden="false" customHeight="false" outlineLevel="0" collapsed="false">
      <c r="A51" s="19" t="s">
        <v>179</v>
      </c>
      <c r="B51" s="19" t="n">
        <v>6887</v>
      </c>
      <c r="C51" s="19" t="n">
        <v>3</v>
      </c>
      <c r="D51" s="19" t="n">
        <v>9</v>
      </c>
      <c r="E51" s="19" t="n">
        <v>0</v>
      </c>
      <c r="F51" s="19" t="n">
        <v>22</v>
      </c>
      <c r="G51" s="19" t="n">
        <f aca="false">IF(ISERROR(IF(INDEX(Strength!$F$2:$F$76,MATCH(B51,Strength!$A$2:$A$76,0))=A51,INDEX(Strength!$G$2:$G$76,MATCH(B51,Strength!$A$2:$A$76,0)),INDEX(Strength!$I$2:$I$76,MATCH(B51,Strength!$A$2:$A$76,0)))),"",IF(INDEX(Strength!$F$2:$F$76,MATCH(B51,Strength!$A$2:$A$76,0))=A51,INDEX(Strength!$G$2:$G$76,MATCH(B51,Strength!$A$2:$A$76,0)),INDEX(Strength!$I$2:$I$76,MATCH(B51,Strength!$A$2:$A$76,0))))</f>
        <v>23</v>
      </c>
      <c r="H51" s="19" t="n">
        <f aca="false">IF(ISERROR(INDEX(Strength!$V$2:$V$76,MATCH(B51,Strength!$A$2:$A$76,0))),"",INDEX(Strength!$V$2:$V$76,MATCH(B51,Strength!$A$2:$A$76,0)))</f>
        <v>35</v>
      </c>
      <c r="I51" s="20" t="n">
        <f aca="false">IF(ISERROR(INDEX(Strength!$U$2:$U$76,MATCH(B51,Strength!$A$2:$A$76,0))),0,INDEX(Strength!$U$2:$U$76,MATCH(B51,Strength!$A$2:$A$76,0)))</f>
        <v>35.1144688644689</v>
      </c>
    </row>
    <row r="52" customFormat="false" ht="15" hidden="false" customHeight="false" outlineLevel="0" collapsed="false">
      <c r="A52" s="19" t="s">
        <v>179</v>
      </c>
      <c r="B52" s="19" t="n">
        <v>4468</v>
      </c>
      <c r="C52" s="19" t="n">
        <v>3</v>
      </c>
      <c r="D52" s="19" t="n">
        <v>9</v>
      </c>
      <c r="E52" s="19" t="n">
        <v>0</v>
      </c>
      <c r="F52" s="19" t="n">
        <v>23</v>
      </c>
      <c r="G52" s="19" t="n">
        <f aca="false">IF(ISERROR(IF(INDEX(Strength!$F$2:$F$76,MATCH(B52,Strength!$A$2:$A$76,0))=A52,INDEX(Strength!$G$2:$G$76,MATCH(B52,Strength!$A$2:$A$76,0)),INDEX(Strength!$I$2:$I$76,MATCH(B52,Strength!$A$2:$A$76,0)))),"",IF(INDEX(Strength!$F$2:$F$76,MATCH(B52,Strength!$A$2:$A$76,0))=A52,INDEX(Strength!$G$2:$G$76,MATCH(B52,Strength!$A$2:$A$76,0)),INDEX(Strength!$I$2:$I$76,MATCH(B52,Strength!$A$2:$A$76,0))))</f>
        <v>13</v>
      </c>
      <c r="H52" s="19" t="n">
        <f aca="false">IF(ISERROR(INDEX(Strength!$V$2:$V$76,MATCH(B52,Strength!$A$2:$A$76,0))),"",INDEX(Strength!$V$2:$V$76,MATCH(B52,Strength!$A$2:$A$76,0)))</f>
        <v>62</v>
      </c>
      <c r="I52" s="20" t="n">
        <f aca="false">IF(ISERROR(INDEX(Strength!$U$2:$U$76,MATCH(B52,Strength!$A$2:$A$76,0))),0,INDEX(Strength!$U$2:$U$76,MATCH(B52,Strength!$A$2:$A$76,0)))</f>
        <v>13.7568681318681</v>
      </c>
    </row>
    <row r="53" customFormat="false" ht="15" hidden="false" customHeight="false" outlineLevel="0" collapsed="false">
      <c r="A53" s="19" t="s">
        <v>179</v>
      </c>
      <c r="B53" s="19" t="n">
        <v>4240</v>
      </c>
      <c r="C53" s="19" t="n">
        <v>3</v>
      </c>
      <c r="D53" s="19" t="n">
        <v>9</v>
      </c>
      <c r="E53" s="19" t="n">
        <v>0</v>
      </c>
      <c r="F53" s="19" t="n">
        <v>24</v>
      </c>
      <c r="G53" s="19" t="n">
        <f aca="false">IF(ISERROR(IF(INDEX(Strength!$F$2:$F$76,MATCH(B53,Strength!$A$2:$A$76,0))=A53,INDEX(Strength!$G$2:$G$76,MATCH(B53,Strength!$A$2:$A$76,0)),INDEX(Strength!$I$2:$I$76,MATCH(B53,Strength!$A$2:$A$76,0)))),"",IF(INDEX(Strength!$F$2:$F$76,MATCH(B53,Strength!$A$2:$A$76,0))=A53,INDEX(Strength!$G$2:$G$76,MATCH(B53,Strength!$A$2:$A$76,0)),INDEX(Strength!$I$2:$I$76,MATCH(B53,Strength!$A$2:$A$76,0))))</f>
        <v>8</v>
      </c>
      <c r="H53" s="19" t="n">
        <f aca="false">IF(ISERROR(INDEX(Strength!$V$2:$V$76,MATCH(B53,Strength!$A$2:$A$76,0))),"",INDEX(Strength!$V$2:$V$76,MATCH(B53,Strength!$A$2:$A$76,0)))</f>
        <v>68</v>
      </c>
      <c r="I53" s="20" t="n">
        <f aca="false">IF(ISERROR(INDEX(Strength!$U$2:$U$76,MATCH(B53,Strength!$A$2:$A$76,0))),0,INDEX(Strength!$U$2:$U$76,MATCH(B53,Strength!$A$2:$A$76,0)))</f>
        <v>8.75915750915751</v>
      </c>
    </row>
    <row r="54" customFormat="false" ht="15" hidden="false" customHeight="false" outlineLevel="0" collapsed="false">
      <c r="A54" s="19" t="s">
        <v>179</v>
      </c>
      <c r="B54" s="19" t="n">
        <v>9582</v>
      </c>
      <c r="C54" s="19" t="n">
        <v>3</v>
      </c>
      <c r="D54" s="19" t="n">
        <v>4</v>
      </c>
      <c r="E54" s="19" t="n">
        <v>0</v>
      </c>
      <c r="F54" s="19" t="n">
        <v>25</v>
      </c>
      <c r="G54" s="19" t="n">
        <f aca="false">IF(ISERROR(IF(INDEX(Strength!$F$2:$F$76,MATCH(B54,Strength!$A$2:$A$76,0))=A54,INDEX(Strength!$G$2:$G$76,MATCH(B54,Strength!$A$2:$A$76,0)),INDEX(Strength!$I$2:$I$76,MATCH(B54,Strength!$A$2:$A$76,0)))),"",IF(INDEX(Strength!$F$2:$F$76,MATCH(B54,Strength!$A$2:$A$76,0))=A54,INDEX(Strength!$G$2:$G$76,MATCH(B54,Strength!$A$2:$A$76,0)),INDEX(Strength!$I$2:$I$76,MATCH(B54,Strength!$A$2:$A$76,0))))</f>
        <v>8</v>
      </c>
      <c r="H54" s="19" t="n">
        <f aca="false">IF(ISERROR(INDEX(Strength!$V$2:$V$76,MATCH(B54,Strength!$A$2:$A$76,0))),"",INDEX(Strength!$V$2:$V$76,MATCH(B54,Strength!$A$2:$A$76,0)))</f>
        <v>70</v>
      </c>
      <c r="I54" s="20" t="n">
        <f aca="false">IF(ISERROR(INDEX(Strength!$U$2:$U$76,MATCH(B54,Strength!$A$2:$A$76,0))),0,INDEX(Strength!$U$2:$U$76,MATCH(B54,Strength!$A$2:$A$76,0)))</f>
        <v>7.32793522267206</v>
      </c>
    </row>
    <row r="55" customFormat="false" ht="15" hidden="false" customHeight="false" outlineLevel="0" collapsed="false">
      <c r="A55" s="19" t="s">
        <v>179</v>
      </c>
      <c r="B55" s="19" t="n">
        <v>9057</v>
      </c>
      <c r="C55" s="19" t="n">
        <v>3</v>
      </c>
      <c r="D55" s="19" t="n">
        <v>9</v>
      </c>
      <c r="E55" s="19" t="n">
        <v>0</v>
      </c>
      <c r="F55" s="19" t="n">
        <v>26</v>
      </c>
      <c r="G55" s="19" t="n">
        <f aca="false">IF(ISERROR(IF(INDEX(Strength!$F$2:$F$76,MATCH(B55,Strength!$A$2:$A$76,0))=A55,INDEX(Strength!$G$2:$G$76,MATCH(B55,Strength!$A$2:$A$76,0)),INDEX(Strength!$I$2:$I$76,MATCH(B55,Strength!$A$2:$A$76,0)))),"",IF(INDEX(Strength!$F$2:$F$76,MATCH(B55,Strength!$A$2:$A$76,0))=A55,INDEX(Strength!$G$2:$G$76,MATCH(B55,Strength!$A$2:$A$76,0)),INDEX(Strength!$I$2:$I$76,MATCH(B55,Strength!$A$2:$A$76,0))))</f>
        <v>17</v>
      </c>
      <c r="H55" s="19" t="n">
        <f aca="false">IF(ISERROR(INDEX(Strength!$V$2:$V$76,MATCH(B55,Strength!$A$2:$A$76,0))),"",INDEX(Strength!$V$2:$V$76,MATCH(B55,Strength!$A$2:$A$76,0)))</f>
        <v>64</v>
      </c>
      <c r="I55" s="20" t="n">
        <f aca="false">IF(ISERROR(INDEX(Strength!$U$2:$U$76,MATCH(B55,Strength!$A$2:$A$76,0))),0,INDEX(Strength!$U$2:$U$76,MATCH(B55,Strength!$A$2:$A$76,0)))</f>
        <v>11.6735347985348</v>
      </c>
    </row>
    <row r="56" customFormat="false" ht="15" hidden="false" customHeight="false" outlineLevel="0" collapsed="false">
      <c r="A56" s="19" t="s">
        <v>179</v>
      </c>
      <c r="B56" s="19" t="n">
        <v>3815</v>
      </c>
      <c r="C56" s="19" t="n">
        <v>3</v>
      </c>
      <c r="D56" s="19" t="n">
        <v>9</v>
      </c>
      <c r="E56" s="19" t="n">
        <v>0</v>
      </c>
      <c r="F56" s="19" t="n">
        <v>27</v>
      </c>
      <c r="G56" s="19" t="n">
        <f aca="false">IF(ISERROR(IF(INDEX(Strength!$F$2:$F$76,MATCH(B56,Strength!$A$2:$A$76,0))=A56,INDEX(Strength!$G$2:$G$76,MATCH(B56,Strength!$A$2:$A$76,0)),INDEX(Strength!$I$2:$I$76,MATCH(B56,Strength!$A$2:$A$76,0)))),"",IF(INDEX(Strength!$F$2:$F$76,MATCH(B56,Strength!$A$2:$A$76,0))=A56,INDEX(Strength!$G$2:$G$76,MATCH(B56,Strength!$A$2:$A$76,0)),INDEX(Strength!$I$2:$I$76,MATCH(B56,Strength!$A$2:$A$76,0))))</f>
        <v>28</v>
      </c>
      <c r="H56" s="19" t="n">
        <f aca="false">IF(ISERROR(INDEX(Strength!$V$2:$V$76,MATCH(B56,Strength!$A$2:$A$76,0))),"",INDEX(Strength!$V$2:$V$76,MATCH(B56,Strength!$A$2:$A$76,0)))</f>
        <v>39</v>
      </c>
      <c r="I56" s="20" t="n">
        <f aca="false">IF(ISERROR(INDEX(Strength!$U$2:$U$76,MATCH(B56,Strength!$A$2:$A$76,0))),0,INDEX(Strength!$U$2:$U$76,MATCH(B56,Strength!$A$2:$A$76,0)))</f>
        <v>33.2600732600733</v>
      </c>
    </row>
    <row r="57" customFormat="false" ht="15" hidden="false" customHeight="false" outlineLevel="0" collapsed="false">
      <c r="A57" s="19" t="s">
        <v>179</v>
      </c>
      <c r="B57" s="19" t="n">
        <v>9770</v>
      </c>
      <c r="C57" s="19" t="n">
        <v>2</v>
      </c>
      <c r="D57" s="19" t="n">
        <v>9</v>
      </c>
      <c r="E57" s="19" t="n">
        <v>1</v>
      </c>
      <c r="F57" s="19" t="n">
        <v>28</v>
      </c>
      <c r="G57" s="19" t="n">
        <f aca="false">IF(ISERROR(IF(INDEX(Strength!$F$2:$F$76,MATCH(B57,Strength!$A$2:$A$76,0))=A57,INDEX(Strength!$G$2:$G$76,MATCH(B57,Strength!$A$2:$A$76,0)),INDEX(Strength!$I$2:$I$76,MATCH(B57,Strength!$A$2:$A$76,0)))),"",IF(INDEX(Strength!$F$2:$F$76,MATCH(B57,Strength!$A$2:$A$76,0))=A57,INDEX(Strength!$G$2:$G$76,MATCH(B57,Strength!$A$2:$A$76,0)),INDEX(Strength!$I$2:$I$76,MATCH(B57,Strength!$A$2:$A$76,0))))</f>
        <v>5</v>
      </c>
      <c r="H57" s="19" t="n">
        <f aca="false">IF(ISERROR(INDEX(Strength!$V$2:$V$76,MATCH(B57,Strength!$A$2:$A$76,0))),"",INDEX(Strength!$V$2:$V$76,MATCH(B57,Strength!$A$2:$A$76,0)))</f>
        <v>72</v>
      </c>
      <c r="I57" s="20" t="n">
        <f aca="false">IF(ISERROR(INDEX(Strength!$U$2:$U$76,MATCH(B57,Strength!$A$2:$A$76,0))),0,INDEX(Strength!$U$2:$U$76,MATCH(B57,Strength!$A$2:$A$76,0)))</f>
        <v>4.20100732600733</v>
      </c>
    </row>
    <row r="58" customFormat="false" ht="15" hidden="false" customHeight="false" outlineLevel="0" collapsed="false">
      <c r="A58" s="19" t="s">
        <v>179</v>
      </c>
      <c r="B58" s="19" t="n">
        <v>4459</v>
      </c>
      <c r="C58" s="19" t="n">
        <v>1</v>
      </c>
      <c r="D58" s="19" t="n">
        <v>3</v>
      </c>
      <c r="E58" s="19" t="n">
        <v>0</v>
      </c>
      <c r="F58" s="19" t="n">
        <v>29</v>
      </c>
      <c r="G58" s="19" t="n">
        <f aca="false">IF(ISERROR(IF(INDEX(Strength!$F$2:$F$76,MATCH(B58,Strength!$A$2:$A$76,0))=A58,INDEX(Strength!$G$2:$G$76,MATCH(B58,Strength!$A$2:$A$76,0)),INDEX(Strength!$I$2:$I$76,MATCH(B58,Strength!$A$2:$A$76,0)))),"",IF(INDEX(Strength!$F$2:$F$76,MATCH(B58,Strength!$A$2:$A$76,0))=A58,INDEX(Strength!$G$2:$G$76,MATCH(B58,Strength!$A$2:$A$76,0)),INDEX(Strength!$I$2:$I$76,MATCH(B58,Strength!$A$2:$A$76,0))))</f>
        <v>4</v>
      </c>
      <c r="H58" s="19" t="n">
        <f aca="false">IF(ISERROR(INDEX(Strength!$V$2:$V$76,MATCH(B58,Strength!$A$2:$A$76,0))),"",INDEX(Strength!$V$2:$V$76,MATCH(B58,Strength!$A$2:$A$76,0)))</f>
        <v>52</v>
      </c>
      <c r="I58" s="20" t="n">
        <f aca="false">IF(ISERROR(INDEX(Strength!$U$2:$U$76,MATCH(B58,Strength!$A$2:$A$76,0))),0,INDEX(Strength!$U$2:$U$76,MATCH(B58,Strength!$A$2:$A$76,0)))</f>
        <v>22.2527472527473</v>
      </c>
    </row>
    <row r="59" customFormat="false" ht="15" hidden="false" customHeight="false" outlineLevel="0" collapsed="false">
      <c r="A59" s="19" t="s">
        <v>106</v>
      </c>
      <c r="B59" s="19" t="n">
        <v>6919</v>
      </c>
      <c r="C59" s="19" t="n">
        <v>10</v>
      </c>
      <c r="D59" s="19" t="n">
        <v>2</v>
      </c>
      <c r="E59" s="19" t="n">
        <v>0</v>
      </c>
      <c r="F59" s="19" t="n">
        <v>1</v>
      </c>
      <c r="G59" s="19" t="n">
        <f aca="false">IF(ISERROR(IF(INDEX(Strength!$F$2:$F$76,MATCH(B59,Strength!$A$2:$A$76,0))=A59,INDEX(Strength!$G$2:$G$76,MATCH(B59,Strength!$A$2:$A$76,0)),INDEX(Strength!$I$2:$I$76,MATCH(B59,Strength!$A$2:$A$76,0)))),"",IF(INDEX(Strength!$F$2:$F$76,MATCH(B59,Strength!$A$2:$A$76,0))=A59,INDEX(Strength!$G$2:$G$76,MATCH(B59,Strength!$A$2:$A$76,0)),INDEX(Strength!$I$2:$I$76,MATCH(B59,Strength!$A$2:$A$76,0))))</f>
        <v>73</v>
      </c>
      <c r="H59" s="19" t="n">
        <f aca="false">IF(ISERROR(INDEX(Strength!$V$2:$V$76,MATCH(B59,Strength!$A$2:$A$76,0))),"",INDEX(Strength!$V$2:$V$76,MATCH(B59,Strength!$A$2:$A$76,0)))</f>
        <v>4</v>
      </c>
      <c r="I59" s="20" t="n">
        <f aca="false">IF(ISERROR(INDEX(Strength!$U$2:$U$76,MATCH(B59,Strength!$A$2:$A$76,0))),0,INDEX(Strength!$U$2:$U$76,MATCH(B59,Strength!$A$2:$A$76,0)))</f>
        <v>86.6208791208791</v>
      </c>
    </row>
    <row r="60" customFormat="false" ht="15" hidden="false" customHeight="false" outlineLevel="0" collapsed="false">
      <c r="A60" s="19" t="s">
        <v>106</v>
      </c>
      <c r="B60" s="19" t="n">
        <v>1002</v>
      </c>
      <c r="C60" s="19" t="n">
        <v>10</v>
      </c>
      <c r="D60" s="19" t="n">
        <v>1</v>
      </c>
      <c r="E60" s="19" t="n">
        <v>0</v>
      </c>
      <c r="F60" s="19" t="n">
        <v>2</v>
      </c>
      <c r="G60" s="19" t="n">
        <f aca="false">IF(ISERROR(IF(INDEX(Strength!$F$2:$F$76,MATCH(B60,Strength!$A$2:$A$76,0))=A60,INDEX(Strength!$G$2:$G$76,MATCH(B60,Strength!$A$2:$A$76,0)),INDEX(Strength!$I$2:$I$76,MATCH(B60,Strength!$A$2:$A$76,0)))),"",IF(INDEX(Strength!$F$2:$F$76,MATCH(B60,Strength!$A$2:$A$76,0))=A60,INDEX(Strength!$G$2:$G$76,MATCH(B60,Strength!$A$2:$A$76,0)),INDEX(Strength!$I$2:$I$76,MATCH(B60,Strength!$A$2:$A$76,0))))</f>
        <v>72</v>
      </c>
      <c r="H60" s="19" t="n">
        <f aca="false">IF(ISERROR(INDEX(Strength!$V$2:$V$76,MATCH(B60,Strength!$A$2:$A$76,0))),"",INDEX(Strength!$V$2:$V$76,MATCH(B60,Strength!$A$2:$A$76,0)))</f>
        <v>3</v>
      </c>
      <c r="I60" s="20" t="n">
        <f aca="false">IF(ISERROR(INDEX(Strength!$U$2:$U$76,MATCH(B60,Strength!$A$2:$A$76,0))),0,INDEX(Strength!$U$2:$U$76,MATCH(B60,Strength!$A$2:$A$76,0)))</f>
        <v>93.0148112756808</v>
      </c>
    </row>
    <row r="61" customFormat="false" ht="15" hidden="false" customHeight="false" outlineLevel="0" collapsed="false">
      <c r="A61" s="19" t="s">
        <v>106</v>
      </c>
      <c r="B61" s="19" t="n">
        <v>6829</v>
      </c>
      <c r="C61" s="19" t="n">
        <v>9</v>
      </c>
      <c r="D61" s="19" t="n">
        <v>3</v>
      </c>
      <c r="E61" s="19" t="n">
        <v>0</v>
      </c>
      <c r="F61" s="19" t="n">
        <v>3</v>
      </c>
      <c r="G61" s="19" t="n">
        <f aca="false">IF(ISERROR(IF(INDEX(Strength!$F$2:$F$76,MATCH(B61,Strength!$A$2:$A$76,0))=A61,INDEX(Strength!$G$2:$G$76,MATCH(B61,Strength!$A$2:$A$76,0)),INDEX(Strength!$I$2:$I$76,MATCH(B61,Strength!$A$2:$A$76,0)))),"",IF(INDEX(Strength!$F$2:$F$76,MATCH(B61,Strength!$A$2:$A$76,0))=A61,INDEX(Strength!$G$2:$G$76,MATCH(B61,Strength!$A$2:$A$76,0)),INDEX(Strength!$I$2:$I$76,MATCH(B61,Strength!$A$2:$A$76,0))))</f>
        <v>60</v>
      </c>
      <c r="H61" s="19" t="n">
        <f aca="false">IF(ISERROR(INDEX(Strength!$V$2:$V$76,MATCH(B61,Strength!$A$2:$A$76,0))),"",INDEX(Strength!$V$2:$V$76,MATCH(B61,Strength!$A$2:$A$76,0)))</f>
        <v>8</v>
      </c>
      <c r="I61" s="20" t="n">
        <f aca="false">IF(ISERROR(INDEX(Strength!$U$2:$U$76,MATCH(B61,Strength!$A$2:$A$76,0))),0,INDEX(Strength!$U$2:$U$76,MATCH(B61,Strength!$A$2:$A$76,0)))</f>
        <v>70.7967032967033</v>
      </c>
    </row>
    <row r="62" customFormat="false" ht="15" hidden="false" customHeight="false" outlineLevel="0" collapsed="false">
      <c r="A62" s="19" t="s">
        <v>106</v>
      </c>
      <c r="B62" s="19" t="n">
        <v>9477</v>
      </c>
      <c r="C62" s="19" t="n">
        <v>10</v>
      </c>
      <c r="D62" s="19" t="n">
        <v>2</v>
      </c>
      <c r="E62" s="19" t="n">
        <v>0</v>
      </c>
      <c r="F62" s="19" t="n">
        <v>4</v>
      </c>
      <c r="G62" s="19" t="n">
        <f aca="false">IF(ISERROR(IF(INDEX(Strength!$F$2:$F$76,MATCH(B62,Strength!$A$2:$A$76,0))=A62,INDEX(Strength!$G$2:$G$76,MATCH(B62,Strength!$A$2:$A$76,0)),INDEX(Strength!$I$2:$I$76,MATCH(B62,Strength!$A$2:$A$76,0)))),"",IF(INDEX(Strength!$F$2:$F$76,MATCH(B62,Strength!$A$2:$A$76,0))=A62,INDEX(Strength!$G$2:$G$76,MATCH(B62,Strength!$A$2:$A$76,0)),INDEX(Strength!$I$2:$I$76,MATCH(B62,Strength!$A$2:$A$76,0))))</f>
        <v>38</v>
      </c>
      <c r="H62" s="19" t="n">
        <f aca="false">IF(ISERROR(INDEX(Strength!$V$2:$V$76,MATCH(B62,Strength!$A$2:$A$76,0))),"",INDEX(Strength!$V$2:$V$76,MATCH(B62,Strength!$A$2:$A$76,0)))</f>
        <v>14</v>
      </c>
      <c r="I62" s="20" t="n">
        <f aca="false">IF(ISERROR(INDEX(Strength!$U$2:$U$76,MATCH(B62,Strength!$A$2:$A$76,0))),0,INDEX(Strength!$U$2:$U$76,MATCH(B62,Strength!$A$2:$A$76,0)))</f>
        <v>54.8447204968944</v>
      </c>
    </row>
    <row r="63" customFormat="false" ht="15" hidden="false" customHeight="false" outlineLevel="0" collapsed="false">
      <c r="A63" s="19" t="s">
        <v>106</v>
      </c>
      <c r="B63" s="19" t="n">
        <v>7451</v>
      </c>
      <c r="C63" s="19" t="n">
        <v>8</v>
      </c>
      <c r="D63" s="19" t="n">
        <v>3</v>
      </c>
      <c r="E63" s="19" t="n">
        <v>1</v>
      </c>
      <c r="F63" s="19" t="n">
        <v>5</v>
      </c>
      <c r="G63" s="19" t="n">
        <f aca="false">IF(ISERROR(IF(INDEX(Strength!$F$2:$F$76,MATCH(B63,Strength!$A$2:$A$76,0))=A63,INDEX(Strength!$G$2:$G$76,MATCH(B63,Strength!$A$2:$A$76,0)),INDEX(Strength!$I$2:$I$76,MATCH(B63,Strength!$A$2:$A$76,0)))),"",IF(INDEX(Strength!$F$2:$F$76,MATCH(B63,Strength!$A$2:$A$76,0))=A63,INDEX(Strength!$G$2:$G$76,MATCH(B63,Strength!$A$2:$A$76,0)),INDEX(Strength!$I$2:$I$76,MATCH(B63,Strength!$A$2:$A$76,0))))</f>
        <v>42</v>
      </c>
      <c r="H63" s="19" t="n">
        <f aca="false">IF(ISERROR(INDEX(Strength!$V$2:$V$76,MATCH(B63,Strength!$A$2:$A$76,0))),"",INDEX(Strength!$V$2:$V$76,MATCH(B63,Strength!$A$2:$A$76,0)))</f>
        <v>17</v>
      </c>
      <c r="I63" s="20" t="n">
        <f aca="false">IF(ISERROR(INDEX(Strength!$U$2:$U$76,MATCH(B63,Strength!$A$2:$A$76,0))),0,INDEX(Strength!$U$2:$U$76,MATCH(B63,Strength!$A$2:$A$76,0)))</f>
        <v>49.878663003663</v>
      </c>
    </row>
    <row r="64" customFormat="false" ht="15" hidden="false" customHeight="false" outlineLevel="0" collapsed="false">
      <c r="A64" s="19" t="s">
        <v>106</v>
      </c>
      <c r="B64" s="19" t="n">
        <v>4026</v>
      </c>
      <c r="C64" s="19" t="n">
        <v>8</v>
      </c>
      <c r="D64" s="19" t="n">
        <v>4</v>
      </c>
      <c r="E64" s="19" t="n">
        <v>0</v>
      </c>
      <c r="F64" s="19" t="n">
        <v>6</v>
      </c>
      <c r="G64" s="19" t="n">
        <f aca="false">IF(ISERROR(IF(INDEX(Strength!$F$2:$F$76,MATCH(B64,Strength!$A$2:$A$76,0))=A64,INDEX(Strength!$G$2:$G$76,MATCH(B64,Strength!$A$2:$A$76,0)),INDEX(Strength!$I$2:$I$76,MATCH(B64,Strength!$A$2:$A$76,0)))),"",IF(INDEX(Strength!$F$2:$F$76,MATCH(B64,Strength!$A$2:$A$76,0))=A64,INDEX(Strength!$G$2:$G$76,MATCH(B64,Strength!$A$2:$A$76,0)),INDEX(Strength!$I$2:$I$76,MATCH(B64,Strength!$A$2:$A$76,0))))</f>
        <v>30</v>
      </c>
      <c r="H64" s="19" t="n">
        <f aca="false">IF(ISERROR(INDEX(Strength!$V$2:$V$76,MATCH(B64,Strength!$A$2:$A$76,0))),"",INDEX(Strength!$V$2:$V$76,MATCH(B64,Strength!$A$2:$A$76,0)))</f>
        <v>10</v>
      </c>
      <c r="I64" s="20" t="n">
        <f aca="false">IF(ISERROR(INDEX(Strength!$U$2:$U$76,MATCH(B64,Strength!$A$2:$A$76,0))),0,INDEX(Strength!$U$2:$U$76,MATCH(B64,Strength!$A$2:$A$76,0)))</f>
        <v>58.6034798534799</v>
      </c>
    </row>
    <row r="65" customFormat="false" ht="15" hidden="false" customHeight="false" outlineLevel="0" collapsed="false">
      <c r="A65" s="19" t="s">
        <v>106</v>
      </c>
      <c r="B65" s="19" t="n">
        <v>2974</v>
      </c>
      <c r="C65" s="19" t="n">
        <v>6</v>
      </c>
      <c r="D65" s="19" t="n">
        <v>5</v>
      </c>
      <c r="E65" s="19" t="n">
        <v>0</v>
      </c>
      <c r="F65" s="19" t="n">
        <v>7</v>
      </c>
      <c r="G65" s="19" t="n">
        <f aca="false">IF(ISERROR(IF(INDEX(Strength!$F$2:$F$76,MATCH(B65,Strength!$A$2:$A$76,0))=A65,INDEX(Strength!$G$2:$G$76,MATCH(B65,Strength!$A$2:$A$76,0)),INDEX(Strength!$I$2:$I$76,MATCH(B65,Strength!$A$2:$A$76,0)))),"",IF(INDEX(Strength!$F$2:$F$76,MATCH(B65,Strength!$A$2:$A$76,0))=A65,INDEX(Strength!$G$2:$G$76,MATCH(B65,Strength!$A$2:$A$76,0)),INDEX(Strength!$I$2:$I$76,MATCH(B65,Strength!$A$2:$A$76,0))))</f>
        <v>60</v>
      </c>
      <c r="H65" s="19" t="n">
        <f aca="false">IF(ISERROR(INDEX(Strength!$V$2:$V$76,MATCH(B65,Strength!$A$2:$A$76,0))),"",INDEX(Strength!$V$2:$V$76,MATCH(B65,Strength!$A$2:$A$76,0)))</f>
        <v>6</v>
      </c>
      <c r="I65" s="20" t="n">
        <f aca="false">IF(ISERROR(INDEX(Strength!$U$2:$U$76,MATCH(B65,Strength!$A$2:$A$76,0))),0,INDEX(Strength!$U$2:$U$76,MATCH(B65,Strength!$A$2:$A$76,0)))</f>
        <v>82.0974677496417</v>
      </c>
    </row>
    <row r="66" customFormat="false" ht="15" hidden="false" customHeight="false" outlineLevel="0" collapsed="false">
      <c r="A66" s="19" t="s">
        <v>106</v>
      </c>
      <c r="B66" s="19" t="n">
        <v>6887</v>
      </c>
      <c r="C66" s="19" t="n">
        <v>8</v>
      </c>
      <c r="D66" s="19" t="n">
        <v>4</v>
      </c>
      <c r="E66" s="19" t="n">
        <v>0</v>
      </c>
      <c r="F66" s="19" t="n">
        <v>8</v>
      </c>
      <c r="G66" s="19" t="n">
        <f aca="false">IF(ISERROR(IF(INDEX(Strength!$F$2:$F$76,MATCH(B66,Strength!$A$2:$A$76,0))=A66,INDEX(Strength!$G$2:$G$76,MATCH(B66,Strength!$A$2:$A$76,0)),INDEX(Strength!$I$2:$I$76,MATCH(B66,Strength!$A$2:$A$76,0)))),"",IF(INDEX(Strength!$F$2:$F$76,MATCH(B66,Strength!$A$2:$A$76,0))=A66,INDEX(Strength!$G$2:$G$76,MATCH(B66,Strength!$A$2:$A$76,0)),INDEX(Strength!$I$2:$I$76,MATCH(B66,Strength!$A$2:$A$76,0))))</f>
        <v>40</v>
      </c>
      <c r="H66" s="19" t="n">
        <f aca="false">IF(ISERROR(INDEX(Strength!$V$2:$V$76,MATCH(B66,Strength!$A$2:$A$76,0))),"",INDEX(Strength!$V$2:$V$76,MATCH(B66,Strength!$A$2:$A$76,0)))</f>
        <v>35</v>
      </c>
      <c r="I66" s="20" t="n">
        <f aca="false">IF(ISERROR(INDEX(Strength!$U$2:$U$76,MATCH(B66,Strength!$A$2:$A$76,0))),0,INDEX(Strength!$U$2:$U$76,MATCH(B66,Strength!$A$2:$A$76,0)))</f>
        <v>35.1144688644689</v>
      </c>
    </row>
    <row r="67" customFormat="false" ht="15" hidden="false" customHeight="false" outlineLevel="0" collapsed="false">
      <c r="A67" s="19" t="s">
        <v>106</v>
      </c>
      <c r="B67" s="19" t="n">
        <v>5219</v>
      </c>
      <c r="C67" s="19" t="n">
        <v>8</v>
      </c>
      <c r="D67" s="19" t="n">
        <v>4</v>
      </c>
      <c r="E67" s="19" t="n">
        <v>0</v>
      </c>
      <c r="F67" s="19" t="n">
        <v>9</v>
      </c>
      <c r="G67" s="19" t="n">
        <f aca="false">IF(ISERROR(IF(INDEX(Strength!$F$2:$F$76,MATCH(B67,Strength!$A$2:$A$76,0))=A67,INDEX(Strength!$G$2:$G$76,MATCH(B67,Strength!$A$2:$A$76,0)),INDEX(Strength!$I$2:$I$76,MATCH(B67,Strength!$A$2:$A$76,0)))),"",IF(INDEX(Strength!$F$2:$F$76,MATCH(B67,Strength!$A$2:$A$76,0))=A67,INDEX(Strength!$G$2:$G$76,MATCH(B67,Strength!$A$2:$A$76,0)),INDEX(Strength!$I$2:$I$76,MATCH(B67,Strength!$A$2:$A$76,0))))</f>
        <v>27</v>
      </c>
      <c r="H67" s="19" t="n">
        <f aca="false">IF(ISERROR(INDEX(Strength!$V$2:$V$76,MATCH(B67,Strength!$A$2:$A$76,0))),"",INDEX(Strength!$V$2:$V$76,MATCH(B67,Strength!$A$2:$A$76,0)))</f>
        <v>34</v>
      </c>
      <c r="I67" s="20" t="n">
        <f aca="false">IF(ISERROR(INDEX(Strength!$U$2:$U$76,MATCH(B67,Strength!$A$2:$A$76,0))),0,INDEX(Strength!$U$2:$U$76,MATCH(B67,Strength!$A$2:$A$76,0)))</f>
        <v>35.2106227106227</v>
      </c>
    </row>
    <row r="68" customFormat="false" ht="15" hidden="false" customHeight="false" outlineLevel="0" collapsed="false">
      <c r="A68" s="19" t="s">
        <v>106</v>
      </c>
      <c r="B68" s="19" t="n">
        <v>1746</v>
      </c>
      <c r="C68" s="19" t="n">
        <v>7</v>
      </c>
      <c r="D68" s="19" t="n">
        <v>5</v>
      </c>
      <c r="E68" s="19" t="n">
        <v>0</v>
      </c>
      <c r="F68" s="19" t="n">
        <v>10</v>
      </c>
      <c r="G68" s="19" t="n">
        <f aca="false">IF(ISERROR(IF(INDEX(Strength!$F$2:$F$76,MATCH(B68,Strength!$A$2:$A$76,0))=A68,INDEX(Strength!$G$2:$G$76,MATCH(B68,Strength!$A$2:$A$76,0)),INDEX(Strength!$I$2:$I$76,MATCH(B68,Strength!$A$2:$A$76,0)))),"",IF(INDEX(Strength!$F$2:$F$76,MATCH(B68,Strength!$A$2:$A$76,0))=A68,INDEX(Strength!$G$2:$G$76,MATCH(B68,Strength!$A$2:$A$76,0)),INDEX(Strength!$I$2:$I$76,MATCH(B68,Strength!$A$2:$A$76,0))))</f>
        <v>25</v>
      </c>
      <c r="H68" s="19" t="n">
        <f aca="false">IF(ISERROR(INDEX(Strength!$V$2:$V$76,MATCH(B68,Strength!$A$2:$A$76,0))),"",INDEX(Strength!$V$2:$V$76,MATCH(B68,Strength!$A$2:$A$76,0)))</f>
        <v>29</v>
      </c>
      <c r="I68" s="20" t="n">
        <f aca="false">IF(ISERROR(INDEX(Strength!$U$2:$U$76,MATCH(B68,Strength!$A$2:$A$76,0))),0,INDEX(Strength!$U$2:$U$76,MATCH(B68,Strength!$A$2:$A$76,0)))</f>
        <v>37.5228937728938</v>
      </c>
    </row>
    <row r="69" customFormat="false" ht="15" hidden="false" customHeight="false" outlineLevel="0" collapsed="false">
      <c r="A69" s="19" t="s">
        <v>106</v>
      </c>
      <c r="B69" s="19" t="n">
        <v>8736</v>
      </c>
      <c r="C69" s="19" t="n">
        <v>6</v>
      </c>
      <c r="D69" s="19" t="n">
        <v>5</v>
      </c>
      <c r="E69" s="19" t="n">
        <v>1</v>
      </c>
      <c r="F69" s="19" t="n">
        <v>11</v>
      </c>
      <c r="G69" s="19" t="n">
        <f aca="false">IF(ISERROR(IF(INDEX(Strength!$F$2:$F$76,MATCH(B69,Strength!$A$2:$A$76,0))=A69,INDEX(Strength!$G$2:$G$76,MATCH(B69,Strength!$A$2:$A$76,0)),INDEX(Strength!$I$2:$I$76,MATCH(B69,Strength!$A$2:$A$76,0)))),"",IF(INDEX(Strength!$F$2:$F$76,MATCH(B69,Strength!$A$2:$A$76,0))=A69,INDEX(Strength!$G$2:$G$76,MATCH(B69,Strength!$A$2:$A$76,0)),INDEX(Strength!$I$2:$I$76,MATCH(B69,Strength!$A$2:$A$76,0))))</f>
        <v>39</v>
      </c>
      <c r="H69" s="19" t="n">
        <f aca="false">IF(ISERROR(INDEX(Strength!$V$2:$V$76,MATCH(B69,Strength!$A$2:$A$76,0))),"",INDEX(Strength!$V$2:$V$76,MATCH(B69,Strength!$A$2:$A$76,0)))</f>
        <v>27</v>
      </c>
      <c r="I69" s="20" t="n">
        <f aca="false">IF(ISERROR(INDEX(Strength!$U$2:$U$76,MATCH(B69,Strength!$A$2:$A$76,0))),0,INDEX(Strength!$U$2:$U$76,MATCH(B69,Strength!$A$2:$A$76,0)))</f>
        <v>39.5581501831502</v>
      </c>
    </row>
    <row r="70" customFormat="false" ht="15" hidden="false" customHeight="false" outlineLevel="0" collapsed="false">
      <c r="A70" s="19" t="s">
        <v>106</v>
      </c>
      <c r="B70" s="19" t="n">
        <v>6772</v>
      </c>
      <c r="C70" s="19" t="n">
        <v>7</v>
      </c>
      <c r="D70" s="19" t="n">
        <v>5</v>
      </c>
      <c r="E70" s="19" t="n">
        <v>0</v>
      </c>
      <c r="F70" s="19" t="n">
        <v>12</v>
      </c>
      <c r="G70" s="19" t="n">
        <f aca="false">IF(ISERROR(IF(INDEX(Strength!$F$2:$F$76,MATCH(B70,Strength!$A$2:$A$76,0))=A70,INDEX(Strength!$G$2:$G$76,MATCH(B70,Strength!$A$2:$A$76,0)),INDEX(Strength!$I$2:$I$76,MATCH(B70,Strength!$A$2:$A$76,0)))),"",IF(INDEX(Strength!$F$2:$F$76,MATCH(B70,Strength!$A$2:$A$76,0))=A70,INDEX(Strength!$G$2:$G$76,MATCH(B70,Strength!$A$2:$A$76,0)),INDEX(Strength!$I$2:$I$76,MATCH(B70,Strength!$A$2:$A$76,0))))</f>
        <v>41</v>
      </c>
      <c r="H70" s="19" t="n">
        <f aca="false">IF(ISERROR(INDEX(Strength!$V$2:$V$76,MATCH(B70,Strength!$A$2:$A$76,0))),"",INDEX(Strength!$V$2:$V$76,MATCH(B70,Strength!$A$2:$A$76,0)))</f>
        <v>23</v>
      </c>
      <c r="I70" s="20" t="n">
        <f aca="false">IF(ISERROR(INDEX(Strength!$U$2:$U$76,MATCH(B70,Strength!$A$2:$A$76,0))),0,INDEX(Strength!$U$2:$U$76,MATCH(B70,Strength!$A$2:$A$76,0)))</f>
        <v>43.9537545787546</v>
      </c>
    </row>
    <row r="71" customFormat="false" ht="15" hidden="false" customHeight="false" outlineLevel="0" collapsed="false">
      <c r="A71" s="19" t="s">
        <v>106</v>
      </c>
      <c r="B71" s="19" t="n">
        <v>4112</v>
      </c>
      <c r="C71" s="19" t="n">
        <v>6</v>
      </c>
      <c r="D71" s="19" t="n">
        <v>6</v>
      </c>
      <c r="E71" s="19" t="n">
        <v>0</v>
      </c>
      <c r="F71" s="19" t="n">
        <v>13</v>
      </c>
      <c r="G71" s="19" t="n">
        <f aca="false">IF(ISERROR(IF(INDEX(Strength!$F$2:$F$76,MATCH(B71,Strength!$A$2:$A$76,0))=A71,INDEX(Strength!$G$2:$G$76,MATCH(B71,Strength!$A$2:$A$76,0)),INDEX(Strength!$I$2:$I$76,MATCH(B71,Strength!$A$2:$A$76,0)))),"",IF(INDEX(Strength!$F$2:$F$76,MATCH(B71,Strength!$A$2:$A$76,0))=A71,INDEX(Strength!$G$2:$G$76,MATCH(B71,Strength!$A$2:$A$76,0)),INDEX(Strength!$I$2:$I$76,MATCH(B71,Strength!$A$2:$A$76,0))))</f>
        <v>29</v>
      </c>
      <c r="H71" s="19" t="n">
        <f aca="false">IF(ISERROR(INDEX(Strength!$V$2:$V$76,MATCH(B71,Strength!$A$2:$A$76,0))),"",INDEX(Strength!$V$2:$V$76,MATCH(B71,Strength!$A$2:$A$76,0)))</f>
        <v>42</v>
      </c>
      <c r="I71" s="20" t="n">
        <f aca="false">IF(ISERROR(INDEX(Strength!$U$2:$U$76,MATCH(B71,Strength!$A$2:$A$76,0))),0,INDEX(Strength!$U$2:$U$76,MATCH(B71,Strength!$A$2:$A$76,0)))</f>
        <v>31.043956043956</v>
      </c>
    </row>
    <row r="72" customFormat="false" ht="15" hidden="false" customHeight="false" outlineLevel="0" collapsed="false">
      <c r="A72" s="19" t="s">
        <v>106</v>
      </c>
      <c r="B72" s="19" t="n">
        <v>832</v>
      </c>
      <c r="C72" s="19" t="n">
        <v>6</v>
      </c>
      <c r="D72" s="19" t="n">
        <v>6</v>
      </c>
      <c r="E72" s="19" t="n">
        <v>0</v>
      </c>
      <c r="F72" s="19" t="n">
        <v>14</v>
      </c>
      <c r="G72" s="19" t="n">
        <f aca="false">IF(ISERROR(IF(INDEX(Strength!$F$2:$F$76,MATCH(B72,Strength!$A$2:$A$76,0))=A72,INDEX(Strength!$G$2:$G$76,MATCH(B72,Strength!$A$2:$A$76,0)),INDEX(Strength!$I$2:$I$76,MATCH(B72,Strength!$A$2:$A$76,0)))),"",IF(INDEX(Strength!$F$2:$F$76,MATCH(B72,Strength!$A$2:$A$76,0))=A72,INDEX(Strength!$G$2:$G$76,MATCH(B72,Strength!$A$2:$A$76,0)),INDEX(Strength!$I$2:$I$76,MATCH(B72,Strength!$A$2:$A$76,0))))</f>
        <v>25</v>
      </c>
      <c r="H72" s="19" t="n">
        <f aca="false">IF(ISERROR(INDEX(Strength!$V$2:$V$76,MATCH(B72,Strength!$A$2:$A$76,0))),"",INDEX(Strength!$V$2:$V$76,MATCH(B72,Strength!$A$2:$A$76,0)))</f>
        <v>11</v>
      </c>
      <c r="I72" s="20" t="n">
        <f aca="false">IF(ISERROR(INDEX(Strength!$U$2:$U$76,MATCH(B72,Strength!$A$2:$A$76,0))),0,INDEX(Strength!$U$2:$U$76,MATCH(B72,Strength!$A$2:$A$76,0)))</f>
        <v>57.2847985347985</v>
      </c>
    </row>
    <row r="73" customFormat="false" ht="15" hidden="false" customHeight="false" outlineLevel="0" collapsed="false">
      <c r="A73" s="19" t="s">
        <v>106</v>
      </c>
      <c r="B73" s="19" t="n">
        <v>9480</v>
      </c>
      <c r="C73" s="19" t="n">
        <v>6</v>
      </c>
      <c r="D73" s="19" t="n">
        <v>5</v>
      </c>
      <c r="E73" s="19" t="n">
        <v>1</v>
      </c>
      <c r="F73" s="19" t="n">
        <v>15</v>
      </c>
      <c r="G73" s="19" t="n">
        <f aca="false">IF(ISERROR(IF(INDEX(Strength!$F$2:$F$76,MATCH(B73,Strength!$A$2:$A$76,0))=A73,INDEX(Strength!$G$2:$G$76,MATCH(B73,Strength!$A$2:$A$76,0)),INDEX(Strength!$I$2:$I$76,MATCH(B73,Strength!$A$2:$A$76,0)))),"",IF(INDEX(Strength!$F$2:$F$76,MATCH(B73,Strength!$A$2:$A$76,0))=A73,INDEX(Strength!$G$2:$G$76,MATCH(B73,Strength!$A$2:$A$76,0)),INDEX(Strength!$I$2:$I$76,MATCH(B73,Strength!$A$2:$A$76,0))))</f>
        <v>25</v>
      </c>
      <c r="H73" s="19" t="n">
        <f aca="false">IF(ISERROR(INDEX(Strength!$V$2:$V$76,MATCH(B73,Strength!$A$2:$A$76,0))),"",INDEX(Strength!$V$2:$V$76,MATCH(B73,Strength!$A$2:$A$76,0)))</f>
        <v>32</v>
      </c>
      <c r="I73" s="20" t="n">
        <f aca="false">IF(ISERROR(INDEX(Strength!$U$2:$U$76,MATCH(B73,Strength!$A$2:$A$76,0))),0,INDEX(Strength!$U$2:$U$76,MATCH(B73,Strength!$A$2:$A$76,0)))</f>
        <v>35.4876373626374</v>
      </c>
    </row>
    <row r="74" customFormat="false" ht="15" hidden="false" customHeight="false" outlineLevel="0" collapsed="false">
      <c r="A74" s="19" t="s">
        <v>106</v>
      </c>
      <c r="B74" s="19" t="n">
        <v>3329</v>
      </c>
      <c r="C74" s="19" t="n">
        <v>6</v>
      </c>
      <c r="D74" s="19" t="n">
        <v>6</v>
      </c>
      <c r="E74" s="19" t="n">
        <v>0</v>
      </c>
      <c r="F74" s="19" t="n">
        <v>16</v>
      </c>
      <c r="G74" s="19" t="n">
        <f aca="false">IF(ISERROR(IF(INDEX(Strength!$F$2:$F$76,MATCH(B74,Strength!$A$2:$A$76,0))=A74,INDEX(Strength!$G$2:$G$76,MATCH(B74,Strength!$A$2:$A$76,0)),INDEX(Strength!$I$2:$I$76,MATCH(B74,Strength!$A$2:$A$76,0)))),"",IF(INDEX(Strength!$F$2:$F$76,MATCH(B74,Strength!$A$2:$A$76,0))=A74,INDEX(Strength!$G$2:$G$76,MATCH(B74,Strength!$A$2:$A$76,0)),INDEX(Strength!$I$2:$I$76,MATCH(B74,Strength!$A$2:$A$76,0))))</f>
        <v>34</v>
      </c>
      <c r="H74" s="19" t="n">
        <f aca="false">IF(ISERROR(INDEX(Strength!$V$2:$V$76,MATCH(B74,Strength!$A$2:$A$76,0))),"",INDEX(Strength!$V$2:$V$76,MATCH(B74,Strength!$A$2:$A$76,0)))</f>
        <v>26</v>
      </c>
      <c r="I74" s="20" t="n">
        <f aca="false">IF(ISERROR(INDEX(Strength!$U$2:$U$76,MATCH(B74,Strength!$A$2:$A$76,0))),0,INDEX(Strength!$U$2:$U$76,MATCH(B74,Strength!$A$2:$A$76,0)))</f>
        <v>39.720695970696</v>
      </c>
    </row>
    <row r="75" customFormat="false" ht="15" hidden="false" customHeight="false" outlineLevel="0" collapsed="false">
      <c r="A75" s="19" t="s">
        <v>106</v>
      </c>
      <c r="B75" s="19" t="n">
        <v>10338</v>
      </c>
      <c r="C75" s="19" t="n">
        <v>5</v>
      </c>
      <c r="D75" s="19" t="n">
        <v>6</v>
      </c>
      <c r="E75" s="19" t="n">
        <v>1</v>
      </c>
      <c r="F75" s="19" t="n">
        <v>17</v>
      </c>
      <c r="G75" s="19" t="n">
        <f aca="false">IF(ISERROR(IF(INDEX(Strength!$F$2:$F$76,MATCH(B75,Strength!$A$2:$A$76,0))=A75,INDEX(Strength!$G$2:$G$76,MATCH(B75,Strength!$A$2:$A$76,0)),INDEX(Strength!$I$2:$I$76,MATCH(B75,Strength!$A$2:$A$76,0)))),"",IF(INDEX(Strength!$F$2:$F$76,MATCH(B75,Strength!$A$2:$A$76,0))=A75,INDEX(Strength!$G$2:$G$76,MATCH(B75,Strength!$A$2:$A$76,0)),INDEX(Strength!$I$2:$I$76,MATCH(B75,Strength!$A$2:$A$76,0))))</f>
        <v>12</v>
      </c>
      <c r="H75" s="19" t="n">
        <f aca="false">IF(ISERROR(INDEX(Strength!$V$2:$V$76,MATCH(B75,Strength!$A$2:$A$76,0))),"",INDEX(Strength!$V$2:$V$76,MATCH(B75,Strength!$A$2:$A$76,0)))</f>
        <v>63</v>
      </c>
      <c r="I75" s="20" t="n">
        <f aca="false">IF(ISERROR(INDEX(Strength!$U$2:$U$76,MATCH(B75,Strength!$A$2:$A$76,0))),0,INDEX(Strength!$U$2:$U$76,MATCH(B75,Strength!$A$2:$A$76,0)))</f>
        <v>12.8777472527473</v>
      </c>
    </row>
    <row r="76" customFormat="false" ht="15" hidden="false" customHeight="false" outlineLevel="0" collapsed="false">
      <c r="A76" s="19" t="s">
        <v>106</v>
      </c>
      <c r="B76" s="19" t="n">
        <v>5900</v>
      </c>
      <c r="C76" s="19" t="n">
        <v>6</v>
      </c>
      <c r="D76" s="19" t="n">
        <v>6</v>
      </c>
      <c r="E76" s="19" t="n">
        <v>0</v>
      </c>
      <c r="F76" s="19" t="n">
        <v>18</v>
      </c>
      <c r="G76" s="19" t="n">
        <f aca="false">IF(ISERROR(IF(INDEX(Strength!$F$2:$F$76,MATCH(B76,Strength!$A$2:$A$76,0))=A76,INDEX(Strength!$G$2:$G$76,MATCH(B76,Strength!$A$2:$A$76,0)),INDEX(Strength!$I$2:$I$76,MATCH(B76,Strength!$A$2:$A$76,0)))),"",IF(INDEX(Strength!$F$2:$F$76,MATCH(B76,Strength!$A$2:$A$76,0))=A76,INDEX(Strength!$G$2:$G$76,MATCH(B76,Strength!$A$2:$A$76,0)),INDEX(Strength!$I$2:$I$76,MATCH(B76,Strength!$A$2:$A$76,0))))</f>
        <v>43</v>
      </c>
      <c r="H76" s="19" t="n">
        <f aca="false">IF(ISERROR(INDEX(Strength!$V$2:$V$76,MATCH(B76,Strength!$A$2:$A$76,0))),"",INDEX(Strength!$V$2:$V$76,MATCH(B76,Strength!$A$2:$A$76,0)))</f>
        <v>19</v>
      </c>
      <c r="I76" s="20" t="n">
        <f aca="false">IF(ISERROR(INDEX(Strength!$U$2:$U$76,MATCH(B76,Strength!$A$2:$A$76,0))),0,INDEX(Strength!$U$2:$U$76,MATCH(B76,Strength!$A$2:$A$76,0)))</f>
        <v>47.1932234432234</v>
      </c>
    </row>
    <row r="77" customFormat="false" ht="15" hidden="false" customHeight="false" outlineLevel="0" collapsed="false">
      <c r="A77" s="19" t="s">
        <v>106</v>
      </c>
      <c r="B77" s="19" t="n">
        <v>10376</v>
      </c>
      <c r="C77" s="19" t="n">
        <v>5</v>
      </c>
      <c r="D77" s="19" t="n">
        <v>7</v>
      </c>
      <c r="E77" s="19" t="n">
        <v>0</v>
      </c>
      <c r="F77" s="19" t="n">
        <v>19</v>
      </c>
      <c r="G77" s="19" t="n">
        <f aca="false">IF(ISERROR(IF(INDEX(Strength!$F$2:$F$76,MATCH(B77,Strength!$A$2:$A$76,0))=A77,INDEX(Strength!$G$2:$G$76,MATCH(B77,Strength!$A$2:$A$76,0)),INDEX(Strength!$I$2:$I$76,MATCH(B77,Strength!$A$2:$A$76,0)))),"",IF(INDEX(Strength!$F$2:$F$76,MATCH(B77,Strength!$A$2:$A$76,0))=A77,INDEX(Strength!$G$2:$G$76,MATCH(B77,Strength!$A$2:$A$76,0)),INDEX(Strength!$I$2:$I$76,MATCH(B77,Strength!$A$2:$A$76,0))))</f>
        <v>11</v>
      </c>
      <c r="H77" s="19" t="n">
        <f aca="false">IF(ISERROR(INDEX(Strength!$V$2:$V$76,MATCH(B77,Strength!$A$2:$A$76,0))),"",INDEX(Strength!$V$2:$V$76,MATCH(B77,Strength!$A$2:$A$76,0)))</f>
        <v>55</v>
      </c>
      <c r="I77" s="20" t="n">
        <f aca="false">IF(ISERROR(INDEX(Strength!$U$2:$U$76,MATCH(B77,Strength!$A$2:$A$76,0))),0,INDEX(Strength!$U$2:$U$76,MATCH(B77,Strength!$A$2:$A$76,0)))</f>
        <v>21.1630036630037</v>
      </c>
    </row>
    <row r="78" customFormat="false" ht="15" hidden="false" customHeight="false" outlineLevel="0" collapsed="false">
      <c r="A78" s="19" t="s">
        <v>106</v>
      </c>
      <c r="B78" s="19" t="n">
        <v>11214</v>
      </c>
      <c r="C78" s="19" t="n">
        <v>6</v>
      </c>
      <c r="D78" s="19" t="n">
        <v>6</v>
      </c>
      <c r="E78" s="19" t="n">
        <v>0</v>
      </c>
      <c r="F78" s="19" t="n">
        <v>20</v>
      </c>
      <c r="G78" s="19" t="n">
        <f aca="false">IF(ISERROR(IF(INDEX(Strength!$F$2:$F$76,MATCH(B78,Strength!$A$2:$A$76,0))=A78,INDEX(Strength!$G$2:$G$76,MATCH(B78,Strength!$A$2:$A$76,0)),INDEX(Strength!$I$2:$I$76,MATCH(B78,Strength!$A$2:$A$76,0)))),"",IF(INDEX(Strength!$F$2:$F$76,MATCH(B78,Strength!$A$2:$A$76,0))=A78,INDEX(Strength!$G$2:$G$76,MATCH(B78,Strength!$A$2:$A$76,0)),INDEX(Strength!$I$2:$I$76,MATCH(B78,Strength!$A$2:$A$76,0))))</f>
        <v>31</v>
      </c>
      <c r="H78" s="19" t="n">
        <f aca="false">IF(ISERROR(INDEX(Strength!$V$2:$V$76,MATCH(B78,Strength!$A$2:$A$76,0))),"",INDEX(Strength!$V$2:$V$76,MATCH(B78,Strength!$A$2:$A$76,0)))</f>
        <v>43</v>
      </c>
      <c r="I78" s="20" t="n">
        <f aca="false">IF(ISERROR(INDEX(Strength!$U$2:$U$76,MATCH(B78,Strength!$A$2:$A$76,0))),0,INDEX(Strength!$U$2:$U$76,MATCH(B78,Strength!$A$2:$A$76,0)))</f>
        <v>30.9478021978022</v>
      </c>
    </row>
    <row r="79" customFormat="false" ht="15" hidden="false" customHeight="false" outlineLevel="0" collapsed="false">
      <c r="A79" s="19" t="s">
        <v>106</v>
      </c>
      <c r="B79" s="19" t="n">
        <v>8866</v>
      </c>
      <c r="C79" s="19" t="n">
        <v>5</v>
      </c>
      <c r="D79" s="19" t="n">
        <v>7</v>
      </c>
      <c r="E79" s="19" t="n">
        <v>0</v>
      </c>
      <c r="F79" s="19" t="n">
        <v>21</v>
      </c>
      <c r="G79" s="19" t="n">
        <f aca="false">IF(ISERROR(IF(INDEX(Strength!$F$2:$F$76,MATCH(B79,Strength!$A$2:$A$76,0))=A79,INDEX(Strength!$G$2:$G$76,MATCH(B79,Strength!$A$2:$A$76,0)),INDEX(Strength!$I$2:$I$76,MATCH(B79,Strength!$A$2:$A$76,0)))),"",IF(INDEX(Strength!$F$2:$F$76,MATCH(B79,Strength!$A$2:$A$76,0))=A79,INDEX(Strength!$G$2:$G$76,MATCH(B79,Strength!$A$2:$A$76,0)),INDEX(Strength!$I$2:$I$76,MATCH(B79,Strength!$A$2:$A$76,0))))</f>
        <v>29</v>
      </c>
      <c r="H79" s="19" t="n">
        <f aca="false">IF(ISERROR(INDEX(Strength!$V$2:$V$76,MATCH(B79,Strength!$A$2:$A$76,0))),"",INDEX(Strength!$V$2:$V$76,MATCH(B79,Strength!$A$2:$A$76,0)))</f>
        <v>36</v>
      </c>
      <c r="I79" s="20" t="n">
        <f aca="false">IF(ISERROR(INDEX(Strength!$U$2:$U$76,MATCH(B79,Strength!$A$2:$A$76,0))),0,INDEX(Strength!$U$2:$U$76,MATCH(B79,Strength!$A$2:$A$76,0)))</f>
        <v>34.9038461538462</v>
      </c>
    </row>
    <row r="80" customFormat="false" ht="15" hidden="false" customHeight="false" outlineLevel="0" collapsed="false">
      <c r="A80" s="19" t="s">
        <v>106</v>
      </c>
      <c r="B80" s="19" t="n">
        <v>6023</v>
      </c>
      <c r="C80" s="19" t="n">
        <v>5</v>
      </c>
      <c r="D80" s="19" t="n">
        <v>5</v>
      </c>
      <c r="E80" s="19" t="n">
        <v>0</v>
      </c>
      <c r="F80" s="19" t="n">
        <v>22</v>
      </c>
      <c r="G80" s="19" t="n">
        <f aca="false">IF(ISERROR(IF(INDEX(Strength!$F$2:$F$76,MATCH(B80,Strength!$A$2:$A$76,0))=A80,INDEX(Strength!$G$2:$G$76,MATCH(B80,Strength!$A$2:$A$76,0)),INDEX(Strength!$I$2:$I$76,MATCH(B80,Strength!$A$2:$A$76,0)))),"",IF(INDEX(Strength!$F$2:$F$76,MATCH(B80,Strength!$A$2:$A$76,0))=A80,INDEX(Strength!$G$2:$G$76,MATCH(B80,Strength!$A$2:$A$76,0)),INDEX(Strength!$I$2:$I$76,MATCH(B80,Strength!$A$2:$A$76,0))))</f>
        <v>16</v>
      </c>
      <c r="H80" s="19" t="n">
        <f aca="false">IF(ISERROR(INDEX(Strength!$V$2:$V$76,MATCH(B80,Strength!$A$2:$A$76,0))),"",INDEX(Strength!$V$2:$V$76,MATCH(B80,Strength!$A$2:$A$76,0)))</f>
        <v>30</v>
      </c>
      <c r="I80" s="20" t="n">
        <f aca="false">IF(ISERROR(INDEX(Strength!$U$2:$U$76,MATCH(B80,Strength!$A$2:$A$76,0))),0,INDEX(Strength!$U$2:$U$76,MATCH(B80,Strength!$A$2:$A$76,0)))</f>
        <v>37.3476523476524</v>
      </c>
    </row>
    <row r="81" customFormat="false" ht="15" hidden="false" customHeight="false" outlineLevel="0" collapsed="false">
      <c r="A81" s="19" t="s">
        <v>106</v>
      </c>
      <c r="B81" s="19" t="n">
        <v>7514</v>
      </c>
      <c r="C81" s="19" t="n">
        <v>5</v>
      </c>
      <c r="D81" s="19" t="n">
        <v>7</v>
      </c>
      <c r="E81" s="19" t="n">
        <v>0</v>
      </c>
      <c r="F81" s="19" t="n">
        <v>23</v>
      </c>
      <c r="G81" s="19" t="n">
        <f aca="false">IF(ISERROR(IF(INDEX(Strength!$F$2:$F$76,MATCH(B81,Strength!$A$2:$A$76,0))=A81,INDEX(Strength!$G$2:$G$76,MATCH(B81,Strength!$A$2:$A$76,0)),INDEX(Strength!$I$2:$I$76,MATCH(B81,Strength!$A$2:$A$76,0)))),"",IF(INDEX(Strength!$F$2:$F$76,MATCH(B81,Strength!$A$2:$A$76,0))=A81,INDEX(Strength!$G$2:$G$76,MATCH(B81,Strength!$A$2:$A$76,0)),INDEX(Strength!$I$2:$I$76,MATCH(B81,Strength!$A$2:$A$76,0))))</f>
        <v>15</v>
      </c>
      <c r="H81" s="19" t="n">
        <f aca="false">IF(ISERROR(INDEX(Strength!$V$2:$V$76,MATCH(B81,Strength!$A$2:$A$76,0))),"",INDEX(Strength!$V$2:$V$76,MATCH(B81,Strength!$A$2:$A$76,0)))</f>
        <v>49</v>
      </c>
      <c r="I81" s="20" t="n">
        <f aca="false">IF(ISERROR(INDEX(Strength!$U$2:$U$76,MATCH(B81,Strength!$A$2:$A$76,0))),0,INDEX(Strength!$U$2:$U$76,MATCH(B81,Strength!$A$2:$A$76,0)))</f>
        <v>24.1254578754579</v>
      </c>
    </row>
    <row r="82" customFormat="false" ht="15" hidden="false" customHeight="false" outlineLevel="0" collapsed="false">
      <c r="A82" s="19" t="s">
        <v>106</v>
      </c>
      <c r="B82" s="19" t="n">
        <v>9770</v>
      </c>
      <c r="C82" s="19" t="n">
        <v>4</v>
      </c>
      <c r="D82" s="19" t="n">
        <v>8</v>
      </c>
      <c r="E82" s="19" t="n">
        <v>0</v>
      </c>
      <c r="F82" s="19" t="n">
        <v>24</v>
      </c>
      <c r="G82" s="19" t="n">
        <f aca="false">IF(ISERROR(IF(INDEX(Strength!$F$2:$F$76,MATCH(B82,Strength!$A$2:$A$76,0))=A82,INDEX(Strength!$G$2:$G$76,MATCH(B82,Strength!$A$2:$A$76,0)),INDEX(Strength!$I$2:$I$76,MATCH(B82,Strength!$A$2:$A$76,0)))),"",IF(INDEX(Strength!$F$2:$F$76,MATCH(B82,Strength!$A$2:$A$76,0))=A82,INDEX(Strength!$G$2:$G$76,MATCH(B82,Strength!$A$2:$A$76,0)),INDEX(Strength!$I$2:$I$76,MATCH(B82,Strength!$A$2:$A$76,0))))</f>
        <v>9</v>
      </c>
      <c r="H82" s="19" t="n">
        <f aca="false">IF(ISERROR(INDEX(Strength!$V$2:$V$76,MATCH(B82,Strength!$A$2:$A$76,0))),"",INDEX(Strength!$V$2:$V$76,MATCH(B82,Strength!$A$2:$A$76,0)))</f>
        <v>72</v>
      </c>
      <c r="I82" s="20" t="n">
        <f aca="false">IF(ISERROR(INDEX(Strength!$U$2:$U$76,MATCH(B82,Strength!$A$2:$A$76,0))),0,INDEX(Strength!$U$2:$U$76,MATCH(B82,Strength!$A$2:$A$76,0)))</f>
        <v>4.20100732600733</v>
      </c>
    </row>
    <row r="83" customFormat="false" ht="15" hidden="false" customHeight="false" outlineLevel="0" collapsed="false">
      <c r="A83" s="19" t="s">
        <v>106</v>
      </c>
      <c r="B83" s="19" t="n">
        <v>8761</v>
      </c>
      <c r="C83" s="19" t="n">
        <v>4</v>
      </c>
      <c r="D83" s="19" t="n">
        <v>7</v>
      </c>
      <c r="E83" s="19" t="n">
        <v>1</v>
      </c>
      <c r="F83" s="19" t="n">
        <v>25</v>
      </c>
      <c r="G83" s="19" t="n">
        <f aca="false">IF(ISERROR(IF(INDEX(Strength!$F$2:$F$76,MATCH(B83,Strength!$A$2:$A$76,0))=A83,INDEX(Strength!$G$2:$G$76,MATCH(B83,Strength!$A$2:$A$76,0)),INDEX(Strength!$I$2:$I$76,MATCH(B83,Strength!$A$2:$A$76,0)))),"",IF(INDEX(Strength!$F$2:$F$76,MATCH(B83,Strength!$A$2:$A$76,0))=A83,INDEX(Strength!$G$2:$G$76,MATCH(B83,Strength!$A$2:$A$76,0)),INDEX(Strength!$I$2:$I$76,MATCH(B83,Strength!$A$2:$A$76,0))))</f>
        <v>9</v>
      </c>
      <c r="H83" s="19" t="n">
        <f aca="false">IF(ISERROR(INDEX(Strength!$V$2:$V$76,MATCH(B83,Strength!$A$2:$A$76,0))),"",INDEX(Strength!$V$2:$V$76,MATCH(B83,Strength!$A$2:$A$76,0)))</f>
        <v>67</v>
      </c>
      <c r="I83" s="20" t="n">
        <f aca="false">IF(ISERROR(INDEX(Strength!$U$2:$U$76,MATCH(B83,Strength!$A$2:$A$76,0))),0,INDEX(Strength!$U$2:$U$76,MATCH(B83,Strength!$A$2:$A$76,0)))</f>
        <v>10.2403846153846</v>
      </c>
    </row>
    <row r="84" customFormat="false" ht="15" hidden="false" customHeight="false" outlineLevel="0" collapsed="false">
      <c r="A84" s="19" t="s">
        <v>106</v>
      </c>
      <c r="B84" s="19" t="n">
        <v>4730</v>
      </c>
      <c r="C84" s="19" t="n">
        <v>3</v>
      </c>
      <c r="D84" s="19" t="n">
        <v>8</v>
      </c>
      <c r="E84" s="19" t="n">
        <v>0</v>
      </c>
      <c r="F84" s="19" t="n">
        <v>26</v>
      </c>
      <c r="G84" s="19" t="n">
        <f aca="false">IF(ISERROR(IF(INDEX(Strength!$F$2:$F$76,MATCH(B84,Strength!$A$2:$A$76,0))=A84,INDEX(Strength!$G$2:$G$76,MATCH(B84,Strength!$A$2:$A$76,0)),INDEX(Strength!$I$2:$I$76,MATCH(B84,Strength!$A$2:$A$76,0)))),"",IF(INDEX(Strength!$F$2:$F$76,MATCH(B84,Strength!$A$2:$A$76,0))=A84,INDEX(Strength!$G$2:$G$76,MATCH(B84,Strength!$A$2:$A$76,0)),INDEX(Strength!$I$2:$I$76,MATCH(B84,Strength!$A$2:$A$76,0))))</f>
        <v>11</v>
      </c>
      <c r="H84" s="19" t="n">
        <f aca="false">IF(ISERROR(INDEX(Strength!$V$2:$V$76,MATCH(B84,Strength!$A$2:$A$76,0))),"",INDEX(Strength!$V$2:$V$76,MATCH(B84,Strength!$A$2:$A$76,0)))</f>
        <v>69</v>
      </c>
      <c r="I84" s="20" t="n">
        <f aca="false">IF(ISERROR(INDEX(Strength!$U$2:$U$76,MATCH(B84,Strength!$A$2:$A$76,0))),0,INDEX(Strength!$U$2:$U$76,MATCH(B84,Strength!$A$2:$A$76,0)))</f>
        <v>8.51409460105112</v>
      </c>
    </row>
    <row r="85" customFormat="false" ht="15" hidden="false" customHeight="false" outlineLevel="0" collapsed="false">
      <c r="A85" s="19" t="s">
        <v>106</v>
      </c>
      <c r="B85" s="19" t="n">
        <v>5608</v>
      </c>
      <c r="C85" s="19" t="n">
        <v>3</v>
      </c>
      <c r="D85" s="19" t="n">
        <v>8</v>
      </c>
      <c r="E85" s="19" t="n">
        <v>0</v>
      </c>
      <c r="F85" s="19" t="n">
        <v>27</v>
      </c>
      <c r="G85" s="19" t="n">
        <f aca="false">IF(ISERROR(IF(INDEX(Strength!$F$2:$F$76,MATCH(B85,Strength!$A$2:$A$76,0))=A85,INDEX(Strength!$G$2:$G$76,MATCH(B85,Strength!$A$2:$A$76,0)),INDEX(Strength!$I$2:$I$76,MATCH(B85,Strength!$A$2:$A$76,0)))),"",IF(INDEX(Strength!$F$2:$F$76,MATCH(B85,Strength!$A$2:$A$76,0))=A85,INDEX(Strength!$G$2:$G$76,MATCH(B85,Strength!$A$2:$A$76,0)),INDEX(Strength!$I$2:$I$76,MATCH(B85,Strength!$A$2:$A$76,0))))</f>
        <v>35</v>
      </c>
      <c r="H85" s="19" t="n">
        <f aca="false">IF(ISERROR(INDEX(Strength!$V$2:$V$76,MATCH(B85,Strength!$A$2:$A$76,0))),"",INDEX(Strength!$V$2:$V$76,MATCH(B85,Strength!$A$2:$A$76,0)))</f>
        <v>44</v>
      </c>
      <c r="I85" s="20" t="n">
        <f aca="false">IF(ISERROR(INDEX(Strength!$U$2:$U$76,MATCH(B85,Strength!$A$2:$A$76,0))),0,INDEX(Strength!$U$2:$U$76,MATCH(B85,Strength!$A$2:$A$76,0)))</f>
        <v>30.4443382704252</v>
      </c>
    </row>
    <row r="86" customFormat="false" ht="15" hidden="false" customHeight="false" outlineLevel="0" collapsed="false">
      <c r="A86" s="19" t="s">
        <v>106</v>
      </c>
      <c r="B86" s="19" t="n">
        <v>6905</v>
      </c>
      <c r="C86" s="19" t="n">
        <v>3</v>
      </c>
      <c r="D86" s="19" t="n">
        <v>9</v>
      </c>
      <c r="E86" s="19" t="n">
        <v>0</v>
      </c>
      <c r="F86" s="19" t="n">
        <v>28</v>
      </c>
      <c r="G86" s="19" t="n">
        <f aca="false">IF(ISERROR(IF(INDEX(Strength!$F$2:$F$76,MATCH(B86,Strength!$A$2:$A$76,0))=A86,INDEX(Strength!$G$2:$G$76,MATCH(B86,Strength!$A$2:$A$76,0)),INDEX(Strength!$I$2:$I$76,MATCH(B86,Strength!$A$2:$A$76,0)))),"",IF(INDEX(Strength!$F$2:$F$76,MATCH(B86,Strength!$A$2:$A$76,0))=A86,INDEX(Strength!$G$2:$G$76,MATCH(B86,Strength!$A$2:$A$76,0)),INDEX(Strength!$I$2:$I$76,MATCH(B86,Strength!$A$2:$A$76,0))))</f>
        <v>29</v>
      </c>
      <c r="H86" s="19" t="n">
        <f aca="false">IF(ISERROR(INDEX(Strength!$V$2:$V$76,MATCH(B86,Strength!$A$2:$A$76,0))),"",INDEX(Strength!$V$2:$V$76,MATCH(B86,Strength!$A$2:$A$76,0)))</f>
        <v>45</v>
      </c>
      <c r="I86" s="20" t="n">
        <f aca="false">IF(ISERROR(INDEX(Strength!$U$2:$U$76,MATCH(B86,Strength!$A$2:$A$76,0))),0,INDEX(Strength!$U$2:$U$76,MATCH(B86,Strength!$A$2:$A$76,0)))</f>
        <v>29.4255744255744</v>
      </c>
    </row>
    <row r="87" customFormat="false" ht="15" hidden="false" customHeight="false" outlineLevel="0" collapsed="false">
      <c r="A87" s="19" t="s">
        <v>106</v>
      </c>
      <c r="B87" s="19" t="n">
        <v>6712</v>
      </c>
      <c r="C87" s="19" t="n">
        <v>3</v>
      </c>
      <c r="D87" s="19" t="n">
        <v>9</v>
      </c>
      <c r="E87" s="19" t="n">
        <v>0</v>
      </c>
      <c r="F87" s="19" t="n">
        <v>29</v>
      </c>
      <c r="G87" s="19" t="n">
        <f aca="false">IF(ISERROR(IF(INDEX(Strength!$F$2:$F$76,MATCH(B87,Strength!$A$2:$A$76,0))=A87,INDEX(Strength!$G$2:$G$76,MATCH(B87,Strength!$A$2:$A$76,0)),INDEX(Strength!$I$2:$I$76,MATCH(B87,Strength!$A$2:$A$76,0)))),"",IF(INDEX(Strength!$F$2:$F$76,MATCH(B87,Strength!$A$2:$A$76,0))=A87,INDEX(Strength!$G$2:$G$76,MATCH(B87,Strength!$A$2:$A$76,0)),INDEX(Strength!$I$2:$I$76,MATCH(B87,Strength!$A$2:$A$76,0))))</f>
        <v>6</v>
      </c>
      <c r="H87" s="19" t="n">
        <f aca="false">IF(ISERROR(INDEX(Strength!$V$2:$V$76,MATCH(B87,Strength!$A$2:$A$76,0))),"",INDEX(Strength!$V$2:$V$76,MATCH(B87,Strength!$A$2:$A$76,0)))</f>
        <v>66</v>
      </c>
      <c r="I87" s="20" t="n">
        <f aca="false">IF(ISERROR(INDEX(Strength!$U$2:$U$76,MATCH(B87,Strength!$A$2:$A$76,0))),0,INDEX(Strength!$U$2:$U$76,MATCH(B87,Strength!$A$2:$A$76,0)))</f>
        <v>10.8424908424908</v>
      </c>
    </row>
    <row r="88" customFormat="false" ht="15" hidden="false" customHeight="false" outlineLevel="0" collapsed="false">
      <c r="A88" s="19" t="s">
        <v>106</v>
      </c>
      <c r="B88" s="19" t="n">
        <v>8849</v>
      </c>
      <c r="C88" s="19" t="n">
        <v>2</v>
      </c>
      <c r="D88" s="19" t="n">
        <v>8</v>
      </c>
      <c r="E88" s="19" t="n">
        <v>0</v>
      </c>
      <c r="F88" s="19" t="n">
        <v>30</v>
      </c>
      <c r="G88" s="19" t="n">
        <f aca="false">IF(ISERROR(IF(INDEX(Strength!$F$2:$F$76,MATCH(B88,Strength!$A$2:$A$76,0))=A88,INDEX(Strength!$G$2:$G$76,MATCH(B88,Strength!$A$2:$A$76,0)),INDEX(Strength!$I$2:$I$76,MATCH(B88,Strength!$A$2:$A$76,0)))),"",IF(INDEX(Strength!$F$2:$F$76,MATCH(B88,Strength!$A$2:$A$76,0))=A88,INDEX(Strength!$G$2:$G$76,MATCH(B88,Strength!$A$2:$A$76,0)),INDEX(Strength!$I$2:$I$76,MATCH(B88,Strength!$A$2:$A$76,0))))</f>
        <v>9</v>
      </c>
      <c r="H88" s="19" t="n">
        <f aca="false">IF(ISERROR(INDEX(Strength!$V$2:$V$76,MATCH(B88,Strength!$A$2:$A$76,0))),"",INDEX(Strength!$V$2:$V$76,MATCH(B88,Strength!$A$2:$A$76,0)))</f>
        <v>73</v>
      </c>
      <c r="I88" s="20" t="n">
        <f aca="false">IF(ISERROR(INDEX(Strength!$U$2:$U$76,MATCH(B88,Strength!$A$2:$A$76,0))),0,INDEX(Strength!$U$2:$U$76,MATCH(B88,Strength!$A$2:$A$76,0)))</f>
        <v>4.10866910866911</v>
      </c>
    </row>
    <row r="89" customFormat="false" ht="15" hidden="false" customHeight="false" outlineLevel="0" collapsed="false">
      <c r="A89" s="19" t="s">
        <v>106</v>
      </c>
      <c r="B89" s="19" t="n">
        <v>7676</v>
      </c>
      <c r="C89" s="19" t="n">
        <v>2</v>
      </c>
      <c r="D89" s="19" t="n">
        <v>9</v>
      </c>
      <c r="E89" s="19" t="n">
        <v>1</v>
      </c>
      <c r="F89" s="19" t="n">
        <v>31</v>
      </c>
      <c r="G89" s="19" t="n">
        <f aca="false">IF(ISERROR(IF(INDEX(Strength!$F$2:$F$76,MATCH(B89,Strength!$A$2:$A$76,0))=A89,INDEX(Strength!$G$2:$G$76,MATCH(B89,Strength!$A$2:$A$76,0)),INDEX(Strength!$I$2:$I$76,MATCH(B89,Strength!$A$2:$A$76,0)))),"",IF(INDEX(Strength!$F$2:$F$76,MATCH(B89,Strength!$A$2:$A$76,0))=A89,INDEX(Strength!$G$2:$G$76,MATCH(B89,Strength!$A$2:$A$76,0)),INDEX(Strength!$I$2:$I$76,MATCH(B89,Strength!$A$2:$A$76,0))))</f>
        <v>4</v>
      </c>
      <c r="H89" s="19" t="n">
        <f aca="false">IF(ISERROR(INDEX(Strength!$V$2:$V$76,MATCH(B89,Strength!$A$2:$A$76,0))),"",INDEX(Strength!$V$2:$V$76,MATCH(B89,Strength!$A$2:$A$76,0)))</f>
        <v>60</v>
      </c>
      <c r="I89" s="20" t="n">
        <f aca="false">IF(ISERROR(INDEX(Strength!$U$2:$U$76,MATCH(B89,Strength!$A$2:$A$76,0))),0,INDEX(Strength!$U$2:$U$76,MATCH(B89,Strength!$A$2:$A$76,0)))</f>
        <v>17.827380952381</v>
      </c>
    </row>
    <row r="90" customFormat="false" ht="15" hidden="false" customHeight="false" outlineLevel="0" collapsed="false">
      <c r="A90" s="19" t="s">
        <v>107</v>
      </c>
      <c r="B90" s="19" t="n">
        <v>1833</v>
      </c>
      <c r="C90" s="19" t="n">
        <v>12</v>
      </c>
      <c r="D90" s="19" t="n">
        <v>0</v>
      </c>
      <c r="E90" s="19" t="n">
        <v>0</v>
      </c>
      <c r="F90" s="19" t="n">
        <v>1</v>
      </c>
      <c r="G90" s="19" t="n">
        <f aca="false">IF(ISERROR(IF(INDEX(Strength!$F$2:$F$76,MATCH(B90,Strength!$A$2:$A$76,0))=A90,INDEX(Strength!$G$2:$G$76,MATCH(B90,Strength!$A$2:$A$76,0)),INDEX(Strength!$I$2:$I$76,MATCH(B90,Strength!$A$2:$A$76,0)))),"",IF(INDEX(Strength!$F$2:$F$76,MATCH(B90,Strength!$A$2:$A$76,0))=A90,INDEX(Strength!$G$2:$G$76,MATCH(B90,Strength!$A$2:$A$76,0)),INDEX(Strength!$I$2:$I$76,MATCH(B90,Strength!$A$2:$A$76,0))))</f>
        <v>73</v>
      </c>
      <c r="H90" s="19" t="n">
        <f aca="false">IF(ISERROR(INDEX(Strength!$V$2:$V$76,MATCH(B90,Strength!$A$2:$A$76,0))),"",INDEX(Strength!$V$2:$V$76,MATCH(B90,Strength!$A$2:$A$76,0)))</f>
        <v>1</v>
      </c>
      <c r="I90" s="20" t="n">
        <f aca="false">IF(ISERROR(INDEX(Strength!$U$2:$U$76,MATCH(B90,Strength!$A$2:$A$76,0))),0,INDEX(Strength!$U$2:$U$76,MATCH(B90,Strength!$A$2:$A$76,0)))</f>
        <v>100</v>
      </c>
    </row>
    <row r="91" customFormat="false" ht="15" hidden="false" customHeight="false" outlineLevel="0" collapsed="false">
      <c r="A91" s="19" t="s">
        <v>107</v>
      </c>
      <c r="B91" s="19" t="n">
        <v>4189</v>
      </c>
      <c r="C91" s="19" t="n">
        <v>11</v>
      </c>
      <c r="D91" s="19" t="n">
        <v>1</v>
      </c>
      <c r="E91" s="19" t="n">
        <v>0</v>
      </c>
      <c r="F91" s="19" t="n">
        <v>2</v>
      </c>
      <c r="G91" s="19" t="n">
        <f aca="false">IF(ISERROR(IF(INDEX(Strength!$F$2:$F$76,MATCH(B91,Strength!$A$2:$A$76,0))=A91,INDEX(Strength!$G$2:$G$76,MATCH(B91,Strength!$A$2:$A$76,0)),INDEX(Strength!$I$2:$I$76,MATCH(B91,Strength!$A$2:$A$76,0)))),"",IF(INDEX(Strength!$F$2:$F$76,MATCH(B91,Strength!$A$2:$A$76,0))=A91,INDEX(Strength!$G$2:$G$76,MATCH(B91,Strength!$A$2:$A$76,0)),INDEX(Strength!$I$2:$I$76,MATCH(B91,Strength!$A$2:$A$76,0))))</f>
        <v>54</v>
      </c>
      <c r="H91" s="19" t="n">
        <f aca="false">IF(ISERROR(INDEX(Strength!$V$2:$V$76,MATCH(B91,Strength!$A$2:$A$76,0))),"",INDEX(Strength!$V$2:$V$76,MATCH(B91,Strength!$A$2:$A$76,0)))</f>
        <v>9</v>
      </c>
      <c r="I91" s="20" t="n">
        <f aca="false">IF(ISERROR(INDEX(Strength!$U$2:$U$76,MATCH(B91,Strength!$A$2:$A$76,0))),0,INDEX(Strength!$U$2:$U$76,MATCH(B91,Strength!$A$2:$A$76,0)))</f>
        <v>66.6781135531136</v>
      </c>
    </row>
    <row r="92" customFormat="false" ht="15" hidden="false" customHeight="false" outlineLevel="0" collapsed="false">
      <c r="A92" s="19" t="s">
        <v>107</v>
      </c>
      <c r="B92" s="19" t="n">
        <v>10482</v>
      </c>
      <c r="C92" s="19" t="n">
        <v>9</v>
      </c>
      <c r="D92" s="19" t="n">
        <v>3</v>
      </c>
      <c r="E92" s="19" t="n">
        <v>0</v>
      </c>
      <c r="F92" s="19" t="n">
        <v>3</v>
      </c>
      <c r="G92" s="19" t="n">
        <f aca="false">IF(ISERROR(IF(INDEX(Strength!$F$2:$F$76,MATCH(B92,Strength!$A$2:$A$76,0))=A92,INDEX(Strength!$G$2:$G$76,MATCH(B92,Strength!$A$2:$A$76,0)),INDEX(Strength!$I$2:$I$76,MATCH(B92,Strength!$A$2:$A$76,0)))),"",IF(INDEX(Strength!$F$2:$F$76,MATCH(B92,Strength!$A$2:$A$76,0))=A92,INDEX(Strength!$G$2:$G$76,MATCH(B92,Strength!$A$2:$A$76,0)),INDEX(Strength!$I$2:$I$76,MATCH(B92,Strength!$A$2:$A$76,0))))</f>
        <v>41</v>
      </c>
      <c r="H92" s="19" t="n">
        <f aca="false">IF(ISERROR(INDEX(Strength!$V$2:$V$76,MATCH(B92,Strength!$A$2:$A$76,0))),"",INDEX(Strength!$V$2:$V$76,MATCH(B92,Strength!$A$2:$A$76,0)))</f>
        <v>31</v>
      </c>
      <c r="I92" s="20" t="n">
        <f aca="false">IF(ISERROR(INDEX(Strength!$U$2:$U$76,MATCH(B92,Strength!$A$2:$A$76,0))),0,INDEX(Strength!$U$2:$U$76,MATCH(B92,Strength!$A$2:$A$76,0)))</f>
        <v>35.831342570473</v>
      </c>
    </row>
    <row r="93" customFormat="false" ht="15" hidden="false" customHeight="false" outlineLevel="0" collapsed="false">
      <c r="A93" s="19" t="s">
        <v>107</v>
      </c>
      <c r="B93" s="19" t="n">
        <v>1683</v>
      </c>
      <c r="C93" s="19" t="n">
        <v>8</v>
      </c>
      <c r="D93" s="19" t="n">
        <v>4</v>
      </c>
      <c r="E93" s="19" t="n">
        <v>0</v>
      </c>
      <c r="F93" s="19" t="n">
        <v>4</v>
      </c>
      <c r="G93" s="19" t="n">
        <f aca="false">IF(ISERROR(IF(INDEX(Strength!$F$2:$F$76,MATCH(B93,Strength!$A$2:$A$76,0))=A93,INDEX(Strength!$G$2:$G$76,MATCH(B93,Strength!$A$2:$A$76,0)),INDEX(Strength!$I$2:$I$76,MATCH(B93,Strength!$A$2:$A$76,0)))),"",IF(INDEX(Strength!$F$2:$F$76,MATCH(B93,Strength!$A$2:$A$76,0))=A93,INDEX(Strength!$G$2:$G$76,MATCH(B93,Strength!$A$2:$A$76,0)),INDEX(Strength!$I$2:$I$76,MATCH(B93,Strength!$A$2:$A$76,0))))</f>
        <v>75</v>
      </c>
      <c r="H93" s="19" t="n">
        <f aca="false">IF(ISERROR(INDEX(Strength!$V$2:$V$76,MATCH(B93,Strength!$A$2:$A$76,0))),"",INDEX(Strength!$V$2:$V$76,MATCH(B93,Strength!$A$2:$A$76,0)))</f>
        <v>7</v>
      </c>
      <c r="I93" s="20" t="n">
        <f aca="false">IF(ISERROR(INDEX(Strength!$U$2:$U$76,MATCH(B93,Strength!$A$2:$A$76,0))),0,INDEX(Strength!$U$2:$U$76,MATCH(B93,Strength!$A$2:$A$76,0)))</f>
        <v>77.2275641025641</v>
      </c>
    </row>
    <row r="94" customFormat="false" ht="15" hidden="false" customHeight="false" outlineLevel="0" collapsed="false">
      <c r="A94" s="19" t="s">
        <v>107</v>
      </c>
      <c r="B94" s="19" t="n">
        <v>8080</v>
      </c>
      <c r="C94" s="19" t="n">
        <v>8</v>
      </c>
      <c r="D94" s="19" t="n">
        <v>4</v>
      </c>
      <c r="E94" s="19" t="n">
        <v>0</v>
      </c>
      <c r="F94" s="19" t="n">
        <v>5</v>
      </c>
      <c r="G94" s="19" t="n">
        <f aca="false">IF(ISERROR(IF(INDEX(Strength!$F$2:$F$76,MATCH(B94,Strength!$A$2:$A$76,0))=A94,INDEX(Strength!$G$2:$G$76,MATCH(B94,Strength!$A$2:$A$76,0)),INDEX(Strength!$I$2:$I$76,MATCH(B94,Strength!$A$2:$A$76,0)))),"",IF(INDEX(Strength!$F$2:$F$76,MATCH(B94,Strength!$A$2:$A$76,0))=A94,INDEX(Strength!$G$2:$G$76,MATCH(B94,Strength!$A$2:$A$76,0)),INDEX(Strength!$I$2:$I$76,MATCH(B94,Strength!$A$2:$A$76,0))))</f>
        <v>51</v>
      </c>
      <c r="H94" s="19" t="n">
        <f aca="false">IF(ISERROR(INDEX(Strength!$V$2:$V$76,MATCH(B94,Strength!$A$2:$A$76,0))),"",INDEX(Strength!$V$2:$V$76,MATCH(B94,Strength!$A$2:$A$76,0)))</f>
        <v>18</v>
      </c>
      <c r="I94" s="20" t="n">
        <f aca="false">IF(ISERROR(INDEX(Strength!$U$2:$U$76,MATCH(B94,Strength!$A$2:$A$76,0))),0,INDEX(Strength!$U$2:$U$76,MATCH(B94,Strength!$A$2:$A$76,0)))</f>
        <v>48.7225274725275</v>
      </c>
    </row>
    <row r="95" customFormat="false" ht="15" hidden="false" customHeight="false" outlineLevel="0" collapsed="false">
      <c r="A95" s="19" t="s">
        <v>107</v>
      </c>
      <c r="B95" s="19" t="n">
        <v>4509</v>
      </c>
      <c r="C95" s="19" t="n">
        <v>8</v>
      </c>
      <c r="D95" s="19" t="n">
        <v>3</v>
      </c>
      <c r="E95" s="19" t="n">
        <v>0</v>
      </c>
      <c r="F95" s="19" t="n">
        <v>6</v>
      </c>
      <c r="G95" s="19" t="n">
        <f aca="false">IF(ISERROR(IF(INDEX(Strength!$F$2:$F$76,MATCH(B95,Strength!$A$2:$A$76,0))=A95,INDEX(Strength!$G$2:$G$76,MATCH(B95,Strength!$A$2:$A$76,0)),INDEX(Strength!$I$2:$I$76,MATCH(B95,Strength!$A$2:$A$76,0)))),"",IF(INDEX(Strength!$F$2:$F$76,MATCH(B95,Strength!$A$2:$A$76,0))=A95,INDEX(Strength!$G$2:$G$76,MATCH(B95,Strength!$A$2:$A$76,0)),INDEX(Strength!$I$2:$I$76,MATCH(B95,Strength!$A$2:$A$76,0))))</f>
        <v>38</v>
      </c>
      <c r="H95" s="19" t="n">
        <f aca="false">IF(ISERROR(INDEX(Strength!$V$2:$V$76,MATCH(B95,Strength!$A$2:$A$76,0))),"",INDEX(Strength!$V$2:$V$76,MATCH(B95,Strength!$A$2:$A$76,0)))</f>
        <v>13</v>
      </c>
      <c r="I95" s="20" t="n">
        <f aca="false">IF(ISERROR(INDEX(Strength!$U$2:$U$76,MATCH(B95,Strength!$A$2:$A$76,0))),0,INDEX(Strength!$U$2:$U$76,MATCH(B95,Strength!$A$2:$A$76,0)))</f>
        <v>55.1242236024845</v>
      </c>
    </row>
    <row r="96" customFormat="false" ht="15" hidden="false" customHeight="false" outlineLevel="0" collapsed="false">
      <c r="A96" s="19" t="s">
        <v>107</v>
      </c>
      <c r="B96" s="19" t="n">
        <v>6340</v>
      </c>
      <c r="C96" s="19" t="n">
        <v>6</v>
      </c>
      <c r="D96" s="19" t="n">
        <v>6</v>
      </c>
      <c r="E96" s="19" t="n">
        <v>0</v>
      </c>
      <c r="F96" s="19" t="n">
        <v>7</v>
      </c>
      <c r="G96" s="19" t="n">
        <f aca="false">IF(ISERROR(IF(INDEX(Strength!$F$2:$F$76,MATCH(B96,Strength!$A$2:$A$76,0))=A96,INDEX(Strength!$G$2:$G$76,MATCH(B96,Strength!$A$2:$A$76,0)),INDEX(Strength!$I$2:$I$76,MATCH(B96,Strength!$A$2:$A$76,0)))),"",IF(INDEX(Strength!$F$2:$F$76,MATCH(B96,Strength!$A$2:$A$76,0))=A96,INDEX(Strength!$G$2:$G$76,MATCH(B96,Strength!$A$2:$A$76,0)),INDEX(Strength!$I$2:$I$76,MATCH(B96,Strength!$A$2:$A$76,0))))</f>
        <v>43</v>
      </c>
      <c r="H96" s="19" t="n">
        <f aca="false">IF(ISERROR(INDEX(Strength!$V$2:$V$76,MATCH(B96,Strength!$A$2:$A$76,0))),"",INDEX(Strength!$V$2:$V$76,MATCH(B96,Strength!$A$2:$A$76,0)))</f>
        <v>21</v>
      </c>
      <c r="I96" s="20" t="n">
        <f aca="false">IF(ISERROR(INDEX(Strength!$U$2:$U$76,MATCH(B96,Strength!$A$2:$A$76,0))),0,INDEX(Strength!$U$2:$U$76,MATCH(B96,Strength!$A$2:$A$76,0)))</f>
        <v>45.4349816849817</v>
      </c>
    </row>
    <row r="97" customFormat="false" ht="15" hidden="false" customHeight="false" outlineLevel="0" collapsed="false">
      <c r="A97" s="19" t="s">
        <v>107</v>
      </c>
      <c r="B97" s="19" t="n">
        <v>1414</v>
      </c>
      <c r="C97" s="19" t="n">
        <v>6</v>
      </c>
      <c r="D97" s="19" t="n">
        <v>6</v>
      </c>
      <c r="E97" s="19" t="n">
        <v>0</v>
      </c>
      <c r="F97" s="19" t="n">
        <v>8</v>
      </c>
      <c r="G97" s="19" t="n">
        <f aca="false">IF(ISERROR(IF(INDEX(Strength!$F$2:$F$76,MATCH(B97,Strength!$A$2:$A$76,0))=A97,INDEX(Strength!$G$2:$G$76,MATCH(B97,Strength!$A$2:$A$76,0)),INDEX(Strength!$I$2:$I$76,MATCH(B97,Strength!$A$2:$A$76,0)))),"",IF(INDEX(Strength!$F$2:$F$76,MATCH(B97,Strength!$A$2:$A$76,0))=A97,INDEX(Strength!$G$2:$G$76,MATCH(B97,Strength!$A$2:$A$76,0)),INDEX(Strength!$I$2:$I$76,MATCH(B97,Strength!$A$2:$A$76,0))))</f>
        <v>48</v>
      </c>
      <c r="H97" s="19" t="n">
        <f aca="false">IF(ISERROR(INDEX(Strength!$V$2:$V$76,MATCH(B97,Strength!$A$2:$A$76,0))),"",INDEX(Strength!$V$2:$V$76,MATCH(B97,Strength!$A$2:$A$76,0)))</f>
        <v>24</v>
      </c>
      <c r="I97" s="20" t="n">
        <f aca="false">IF(ISERROR(INDEX(Strength!$U$2:$U$76,MATCH(B97,Strength!$A$2:$A$76,0))),0,INDEX(Strength!$U$2:$U$76,MATCH(B97,Strength!$A$2:$A$76,0)))</f>
        <v>42.3099816849817</v>
      </c>
    </row>
    <row r="98" customFormat="false" ht="15" hidden="false" customHeight="false" outlineLevel="0" collapsed="false">
      <c r="A98" s="19" t="s">
        <v>107</v>
      </c>
      <c r="B98" s="19" t="n">
        <v>1746</v>
      </c>
      <c r="C98" s="19" t="n">
        <v>6</v>
      </c>
      <c r="D98" s="19" t="n">
        <v>6</v>
      </c>
      <c r="E98" s="19" t="n">
        <v>0</v>
      </c>
      <c r="F98" s="19" t="n">
        <v>9</v>
      </c>
      <c r="G98" s="19" t="n">
        <f aca="false">IF(ISERROR(IF(INDEX(Strength!$F$2:$F$76,MATCH(B98,Strength!$A$2:$A$76,0))=A98,INDEX(Strength!$G$2:$G$76,MATCH(B98,Strength!$A$2:$A$76,0)),INDEX(Strength!$I$2:$I$76,MATCH(B98,Strength!$A$2:$A$76,0)))),"",IF(INDEX(Strength!$F$2:$F$76,MATCH(B98,Strength!$A$2:$A$76,0))=A98,INDEX(Strength!$G$2:$G$76,MATCH(B98,Strength!$A$2:$A$76,0)),INDEX(Strength!$I$2:$I$76,MATCH(B98,Strength!$A$2:$A$76,0))))</f>
        <v>34</v>
      </c>
      <c r="H98" s="19" t="n">
        <f aca="false">IF(ISERROR(INDEX(Strength!$V$2:$V$76,MATCH(B98,Strength!$A$2:$A$76,0))),"",INDEX(Strength!$V$2:$V$76,MATCH(B98,Strength!$A$2:$A$76,0)))</f>
        <v>29</v>
      </c>
      <c r="I98" s="20" t="n">
        <f aca="false">IF(ISERROR(INDEX(Strength!$U$2:$U$76,MATCH(B98,Strength!$A$2:$A$76,0))),0,INDEX(Strength!$U$2:$U$76,MATCH(B98,Strength!$A$2:$A$76,0)))</f>
        <v>37.5228937728938</v>
      </c>
    </row>
    <row r="99" customFormat="false" ht="15" hidden="false" customHeight="false" outlineLevel="0" collapsed="false">
      <c r="A99" s="19" t="s">
        <v>107</v>
      </c>
      <c r="B99" s="19" t="n">
        <v>11174</v>
      </c>
      <c r="C99" s="19" t="n">
        <v>7</v>
      </c>
      <c r="D99" s="19" t="n">
        <v>5</v>
      </c>
      <c r="E99" s="19" t="n">
        <v>0</v>
      </c>
      <c r="F99" s="19" t="n">
        <v>10</v>
      </c>
      <c r="G99" s="19" t="n">
        <f aca="false">IF(ISERROR(IF(INDEX(Strength!$F$2:$F$76,MATCH(B99,Strength!$A$2:$A$76,0))=A99,INDEX(Strength!$G$2:$G$76,MATCH(B99,Strength!$A$2:$A$76,0)),INDEX(Strength!$I$2:$I$76,MATCH(B99,Strength!$A$2:$A$76,0)))),"",IF(INDEX(Strength!$F$2:$F$76,MATCH(B99,Strength!$A$2:$A$76,0))=A99,INDEX(Strength!$G$2:$G$76,MATCH(B99,Strength!$A$2:$A$76,0)),INDEX(Strength!$I$2:$I$76,MATCH(B99,Strength!$A$2:$A$76,0))))</f>
        <v>34</v>
      </c>
      <c r="H99" s="19" t="n">
        <f aca="false">IF(ISERROR(INDEX(Strength!$V$2:$V$76,MATCH(B99,Strength!$A$2:$A$76,0))),"",INDEX(Strength!$V$2:$V$76,MATCH(B99,Strength!$A$2:$A$76,0)))</f>
        <v>20</v>
      </c>
      <c r="I99" s="20" t="n">
        <f aca="false">IF(ISERROR(INDEX(Strength!$U$2:$U$76,MATCH(B99,Strength!$A$2:$A$76,0))),0,INDEX(Strength!$U$2:$U$76,MATCH(B99,Strength!$A$2:$A$76,0)))</f>
        <v>45.5494505494506</v>
      </c>
    </row>
    <row r="100" customFormat="false" ht="15" hidden="false" customHeight="false" outlineLevel="0" collapsed="false">
      <c r="A100" s="19" t="s">
        <v>107</v>
      </c>
      <c r="B100" s="19" t="n">
        <v>4459</v>
      </c>
      <c r="C100" s="19" t="n">
        <v>7</v>
      </c>
      <c r="D100" s="19" t="n">
        <v>5</v>
      </c>
      <c r="E100" s="19" t="n">
        <v>0</v>
      </c>
      <c r="F100" s="19" t="n">
        <v>11</v>
      </c>
      <c r="G100" s="19" t="n">
        <f aca="false">IF(ISERROR(IF(INDEX(Strength!$F$2:$F$76,MATCH(B100,Strength!$A$2:$A$76,0))=A100,INDEX(Strength!$G$2:$G$76,MATCH(B100,Strength!$A$2:$A$76,0)),INDEX(Strength!$I$2:$I$76,MATCH(B100,Strength!$A$2:$A$76,0)))),"",IF(INDEX(Strength!$F$2:$F$76,MATCH(B100,Strength!$A$2:$A$76,0))=A100,INDEX(Strength!$G$2:$G$76,MATCH(B100,Strength!$A$2:$A$76,0)),INDEX(Strength!$I$2:$I$76,MATCH(B100,Strength!$A$2:$A$76,0))))</f>
        <v>25</v>
      </c>
      <c r="H100" s="19" t="n">
        <f aca="false">IF(ISERROR(INDEX(Strength!$V$2:$V$76,MATCH(B100,Strength!$A$2:$A$76,0))),"",INDEX(Strength!$V$2:$V$76,MATCH(B100,Strength!$A$2:$A$76,0)))</f>
        <v>52</v>
      </c>
      <c r="I100" s="20" t="n">
        <f aca="false">IF(ISERROR(INDEX(Strength!$U$2:$U$76,MATCH(B100,Strength!$A$2:$A$76,0))),0,INDEX(Strength!$U$2:$U$76,MATCH(B100,Strength!$A$2:$A$76,0)))</f>
        <v>22.2527472527473</v>
      </c>
    </row>
    <row r="101" customFormat="false" ht="15" hidden="false" customHeight="false" outlineLevel="0" collapsed="false">
      <c r="A101" s="19" t="s">
        <v>107</v>
      </c>
      <c r="B101" s="19" t="n">
        <v>5651</v>
      </c>
      <c r="C101" s="19" t="n">
        <v>7</v>
      </c>
      <c r="D101" s="19" t="n">
        <v>5</v>
      </c>
      <c r="E101" s="19" t="n">
        <v>0</v>
      </c>
      <c r="F101" s="19" t="n">
        <v>12</v>
      </c>
      <c r="G101" s="19" t="n">
        <f aca="false">IF(ISERROR(IF(INDEX(Strength!$F$2:$F$76,MATCH(B101,Strength!$A$2:$A$76,0))=A101,INDEX(Strength!$G$2:$G$76,MATCH(B101,Strength!$A$2:$A$76,0)),INDEX(Strength!$I$2:$I$76,MATCH(B101,Strength!$A$2:$A$76,0)))),"",IF(INDEX(Strength!$F$2:$F$76,MATCH(B101,Strength!$A$2:$A$76,0))=A101,INDEX(Strength!$G$2:$G$76,MATCH(B101,Strength!$A$2:$A$76,0)),INDEX(Strength!$I$2:$I$76,MATCH(B101,Strength!$A$2:$A$76,0))))</f>
        <v>23</v>
      </c>
      <c r="H101" s="19" t="n">
        <f aca="false">IF(ISERROR(INDEX(Strength!$V$2:$V$76,MATCH(B101,Strength!$A$2:$A$76,0))),"",INDEX(Strength!$V$2:$V$76,MATCH(B101,Strength!$A$2:$A$76,0)))</f>
        <v>50</v>
      </c>
      <c r="I101" s="20" t="n">
        <f aca="false">IF(ISERROR(INDEX(Strength!$U$2:$U$76,MATCH(B101,Strength!$A$2:$A$76,0))),0,INDEX(Strength!$U$2:$U$76,MATCH(B101,Strength!$A$2:$A$76,0)))</f>
        <v>23.246336996337</v>
      </c>
    </row>
    <row r="102" customFormat="false" ht="15" hidden="false" customHeight="false" outlineLevel="0" collapsed="false">
      <c r="A102" s="19" t="s">
        <v>107</v>
      </c>
      <c r="B102" s="19" t="n">
        <v>9561</v>
      </c>
      <c r="C102" s="19" t="n">
        <v>7</v>
      </c>
      <c r="D102" s="19" t="n">
        <v>5</v>
      </c>
      <c r="E102" s="19" t="n">
        <v>0</v>
      </c>
      <c r="F102" s="19" t="n">
        <v>13</v>
      </c>
      <c r="G102" s="19" t="n">
        <f aca="false">IF(ISERROR(IF(INDEX(Strength!$F$2:$F$76,MATCH(B102,Strength!$A$2:$A$76,0))=A102,INDEX(Strength!$G$2:$G$76,MATCH(B102,Strength!$A$2:$A$76,0)),INDEX(Strength!$I$2:$I$76,MATCH(B102,Strength!$A$2:$A$76,0)))),"",IF(INDEX(Strength!$F$2:$F$76,MATCH(B102,Strength!$A$2:$A$76,0))=A102,INDEX(Strength!$G$2:$G$76,MATCH(B102,Strength!$A$2:$A$76,0)),INDEX(Strength!$I$2:$I$76,MATCH(B102,Strength!$A$2:$A$76,0))))</f>
        <v>20</v>
      </c>
      <c r="H102" s="19" t="n">
        <f aca="false">IF(ISERROR(INDEX(Strength!$V$2:$V$76,MATCH(B102,Strength!$A$2:$A$76,0))),"",INDEX(Strength!$V$2:$V$76,MATCH(B102,Strength!$A$2:$A$76,0)))</f>
        <v>38</v>
      </c>
      <c r="I102" s="20" t="n">
        <f aca="false">IF(ISERROR(INDEX(Strength!$U$2:$U$76,MATCH(B102,Strength!$A$2:$A$76,0))),0,INDEX(Strength!$U$2:$U$76,MATCH(B102,Strength!$A$2:$A$76,0)))</f>
        <v>33.3166833166833</v>
      </c>
    </row>
    <row r="103" customFormat="false" ht="15" hidden="false" customHeight="false" outlineLevel="0" collapsed="false">
      <c r="A103" s="19" t="s">
        <v>107</v>
      </c>
      <c r="B103" s="19" t="n">
        <v>6705</v>
      </c>
      <c r="C103" s="19" t="n">
        <v>6</v>
      </c>
      <c r="D103" s="19" t="n">
        <v>6</v>
      </c>
      <c r="E103" s="19" t="n">
        <v>0</v>
      </c>
      <c r="F103" s="19" t="n">
        <v>14</v>
      </c>
      <c r="G103" s="19" t="n">
        <f aca="false">IF(ISERROR(IF(INDEX(Strength!$F$2:$F$76,MATCH(B103,Strength!$A$2:$A$76,0))=A103,INDEX(Strength!$G$2:$G$76,MATCH(B103,Strength!$A$2:$A$76,0)),INDEX(Strength!$I$2:$I$76,MATCH(B103,Strength!$A$2:$A$76,0)))),"",IF(INDEX(Strength!$F$2:$F$76,MATCH(B103,Strength!$A$2:$A$76,0))=A103,INDEX(Strength!$G$2:$G$76,MATCH(B103,Strength!$A$2:$A$76,0)),INDEX(Strength!$I$2:$I$76,MATCH(B103,Strength!$A$2:$A$76,0))))</f>
        <v>50</v>
      </c>
      <c r="H103" s="19" t="n">
        <f aca="false">IF(ISERROR(INDEX(Strength!$V$2:$V$76,MATCH(B103,Strength!$A$2:$A$76,0))),"",INDEX(Strength!$V$2:$V$76,MATCH(B103,Strength!$A$2:$A$76,0)))</f>
        <v>22</v>
      </c>
      <c r="I103" s="20" t="n">
        <f aca="false">IF(ISERROR(INDEX(Strength!$U$2:$U$76,MATCH(B103,Strength!$A$2:$A$76,0))),0,INDEX(Strength!$U$2:$U$76,MATCH(B103,Strength!$A$2:$A$76,0)))</f>
        <v>44.5077838827839</v>
      </c>
    </row>
    <row r="104" customFormat="false" ht="15" hidden="false" customHeight="false" outlineLevel="0" collapsed="false">
      <c r="A104" s="19" t="s">
        <v>107</v>
      </c>
      <c r="B104" s="19" t="n">
        <v>8577</v>
      </c>
      <c r="C104" s="19" t="n">
        <v>5</v>
      </c>
      <c r="D104" s="19" t="n">
        <v>5</v>
      </c>
      <c r="E104" s="19" t="n">
        <v>0</v>
      </c>
      <c r="F104" s="19" t="n">
        <v>15</v>
      </c>
      <c r="G104" s="19" t="n">
        <f aca="false">IF(ISERROR(IF(INDEX(Strength!$F$2:$F$76,MATCH(B104,Strength!$A$2:$A$76,0))=A104,INDEX(Strength!$G$2:$G$76,MATCH(B104,Strength!$A$2:$A$76,0)),INDEX(Strength!$I$2:$I$76,MATCH(B104,Strength!$A$2:$A$76,0)))),"",IF(INDEX(Strength!$F$2:$F$76,MATCH(B104,Strength!$A$2:$A$76,0))=A104,INDEX(Strength!$G$2:$G$76,MATCH(B104,Strength!$A$2:$A$76,0)),INDEX(Strength!$I$2:$I$76,MATCH(B104,Strength!$A$2:$A$76,0))))</f>
        <v>23</v>
      </c>
      <c r="H104" s="19" t="n">
        <f aca="false">IF(ISERROR(INDEX(Strength!$V$2:$V$76,MATCH(B104,Strength!$A$2:$A$76,0))),"",INDEX(Strength!$V$2:$V$76,MATCH(B104,Strength!$A$2:$A$76,0)))</f>
        <v>47</v>
      </c>
      <c r="I104" s="20" t="n">
        <f aca="false">IF(ISERROR(INDEX(Strength!$U$2:$U$76,MATCH(B104,Strength!$A$2:$A$76,0))),0,INDEX(Strength!$U$2:$U$76,MATCH(B104,Strength!$A$2:$A$76,0)))</f>
        <v>28.5889110889111</v>
      </c>
    </row>
    <row r="105" customFormat="false" ht="15" hidden="false" customHeight="false" outlineLevel="0" collapsed="false">
      <c r="A105" s="19" t="s">
        <v>107</v>
      </c>
      <c r="B105" s="19" t="n">
        <v>5219</v>
      </c>
      <c r="C105" s="19" t="n">
        <v>6</v>
      </c>
      <c r="D105" s="19" t="n">
        <v>6</v>
      </c>
      <c r="E105" s="19" t="n">
        <v>0</v>
      </c>
      <c r="F105" s="19" t="n">
        <v>16</v>
      </c>
      <c r="G105" s="19" t="n">
        <f aca="false">IF(ISERROR(IF(INDEX(Strength!$F$2:$F$76,MATCH(B105,Strength!$A$2:$A$76,0))=A105,INDEX(Strength!$G$2:$G$76,MATCH(B105,Strength!$A$2:$A$76,0)),INDEX(Strength!$I$2:$I$76,MATCH(B105,Strength!$A$2:$A$76,0)))),"",IF(INDEX(Strength!$F$2:$F$76,MATCH(B105,Strength!$A$2:$A$76,0))=A105,INDEX(Strength!$G$2:$G$76,MATCH(B105,Strength!$A$2:$A$76,0)),INDEX(Strength!$I$2:$I$76,MATCH(B105,Strength!$A$2:$A$76,0))))</f>
        <v>22</v>
      </c>
      <c r="H105" s="19" t="n">
        <f aca="false">IF(ISERROR(INDEX(Strength!$V$2:$V$76,MATCH(B105,Strength!$A$2:$A$76,0))),"",INDEX(Strength!$V$2:$V$76,MATCH(B105,Strength!$A$2:$A$76,0)))</f>
        <v>34</v>
      </c>
      <c r="I105" s="20" t="n">
        <f aca="false">IF(ISERROR(INDEX(Strength!$U$2:$U$76,MATCH(B105,Strength!$A$2:$A$76,0))),0,INDEX(Strength!$U$2:$U$76,MATCH(B105,Strength!$A$2:$A$76,0)))</f>
        <v>35.2106227106227</v>
      </c>
    </row>
    <row r="106" customFormat="false" ht="15" hidden="false" customHeight="false" outlineLevel="0" collapsed="false">
      <c r="A106" s="19" t="s">
        <v>107</v>
      </c>
      <c r="B106" s="19" t="n">
        <v>3344</v>
      </c>
      <c r="C106" s="19" t="n">
        <v>5</v>
      </c>
      <c r="D106" s="19" t="n">
        <v>7</v>
      </c>
      <c r="E106" s="19" t="n">
        <v>0</v>
      </c>
      <c r="F106" s="19" t="n">
        <v>17</v>
      </c>
      <c r="G106" s="19" t="n">
        <f aca="false">IF(ISERROR(IF(INDEX(Strength!$F$2:$F$76,MATCH(B106,Strength!$A$2:$A$76,0))=A106,INDEX(Strength!$G$2:$G$76,MATCH(B106,Strength!$A$2:$A$76,0)),INDEX(Strength!$I$2:$I$76,MATCH(B106,Strength!$A$2:$A$76,0)))),"",IF(INDEX(Strength!$F$2:$F$76,MATCH(B106,Strength!$A$2:$A$76,0))=A106,INDEX(Strength!$G$2:$G$76,MATCH(B106,Strength!$A$2:$A$76,0)),INDEX(Strength!$I$2:$I$76,MATCH(B106,Strength!$A$2:$A$76,0))))</f>
        <v>42</v>
      </c>
      <c r="H106" s="19" t="n">
        <f aca="false">IF(ISERROR(INDEX(Strength!$V$2:$V$76,MATCH(B106,Strength!$A$2:$A$76,0))),"",INDEX(Strength!$V$2:$V$76,MATCH(B106,Strength!$A$2:$A$76,0)))</f>
        <v>33</v>
      </c>
      <c r="I106" s="20" t="n">
        <f aca="false">IF(ISERROR(INDEX(Strength!$U$2:$U$76,MATCH(B106,Strength!$A$2:$A$76,0))),0,INDEX(Strength!$U$2:$U$76,MATCH(B106,Strength!$A$2:$A$76,0)))</f>
        <v>35.2289377289377</v>
      </c>
    </row>
    <row r="107" customFormat="false" ht="15" hidden="false" customHeight="false" outlineLevel="0" collapsed="false">
      <c r="A107" s="19" t="s">
        <v>107</v>
      </c>
      <c r="B107" s="19" t="n">
        <v>8815</v>
      </c>
      <c r="C107" s="19" t="n">
        <v>6</v>
      </c>
      <c r="D107" s="19" t="n">
        <v>6</v>
      </c>
      <c r="E107" s="19" t="n">
        <v>0</v>
      </c>
      <c r="F107" s="19" t="n">
        <v>18</v>
      </c>
      <c r="G107" s="19" t="n">
        <f aca="false">IF(ISERROR(IF(INDEX(Strength!$F$2:$F$76,MATCH(B107,Strength!$A$2:$A$76,0))=A107,INDEX(Strength!$G$2:$G$76,MATCH(B107,Strength!$A$2:$A$76,0)),INDEX(Strength!$I$2:$I$76,MATCH(B107,Strength!$A$2:$A$76,0)))),"",IF(INDEX(Strength!$F$2:$F$76,MATCH(B107,Strength!$A$2:$A$76,0))=A107,INDEX(Strength!$G$2:$G$76,MATCH(B107,Strength!$A$2:$A$76,0)),INDEX(Strength!$I$2:$I$76,MATCH(B107,Strength!$A$2:$A$76,0))))</f>
        <v>27</v>
      </c>
      <c r="H107" s="19" t="n">
        <f aca="false">IF(ISERROR(INDEX(Strength!$V$2:$V$76,MATCH(B107,Strength!$A$2:$A$76,0))),"",INDEX(Strength!$V$2:$V$76,MATCH(B107,Strength!$A$2:$A$76,0)))</f>
        <v>41</v>
      </c>
      <c r="I107" s="20" t="n">
        <f aca="false">IF(ISERROR(INDEX(Strength!$U$2:$U$76,MATCH(B107,Strength!$A$2:$A$76,0))),0,INDEX(Strength!$U$2:$U$76,MATCH(B107,Strength!$A$2:$A$76,0)))</f>
        <v>31.9230769230769</v>
      </c>
    </row>
    <row r="108" customFormat="false" ht="15" hidden="false" customHeight="false" outlineLevel="0" collapsed="false">
      <c r="A108" s="19" t="s">
        <v>107</v>
      </c>
      <c r="B108" s="19" t="n">
        <v>9522</v>
      </c>
      <c r="C108" s="19" t="n">
        <v>6</v>
      </c>
      <c r="D108" s="19" t="n">
        <v>6</v>
      </c>
      <c r="E108" s="19" t="n">
        <v>0</v>
      </c>
      <c r="F108" s="19" t="n">
        <v>19</v>
      </c>
      <c r="G108" s="19" t="n">
        <f aca="false">IF(ISERROR(IF(INDEX(Strength!$F$2:$F$76,MATCH(B108,Strength!$A$2:$A$76,0))=A108,INDEX(Strength!$G$2:$G$76,MATCH(B108,Strength!$A$2:$A$76,0)),INDEX(Strength!$I$2:$I$76,MATCH(B108,Strength!$A$2:$A$76,0)))),"",IF(INDEX(Strength!$F$2:$F$76,MATCH(B108,Strength!$A$2:$A$76,0))=A108,INDEX(Strength!$G$2:$G$76,MATCH(B108,Strength!$A$2:$A$76,0)),INDEX(Strength!$I$2:$I$76,MATCH(B108,Strength!$A$2:$A$76,0))))</f>
        <v>22</v>
      </c>
      <c r="H108" s="19" t="n">
        <f aca="false">IF(ISERROR(INDEX(Strength!$V$2:$V$76,MATCH(B108,Strength!$A$2:$A$76,0))),"",INDEX(Strength!$V$2:$V$76,MATCH(B108,Strength!$A$2:$A$76,0)))</f>
        <v>37</v>
      </c>
      <c r="I108" s="20" t="n">
        <f aca="false">IF(ISERROR(INDEX(Strength!$U$2:$U$76,MATCH(B108,Strength!$A$2:$A$76,0))),0,INDEX(Strength!$U$2:$U$76,MATCH(B108,Strength!$A$2:$A$76,0)))</f>
        <v>34.8855311355311</v>
      </c>
    </row>
    <row r="109" customFormat="false" ht="15" hidden="false" customHeight="false" outlineLevel="0" collapsed="false">
      <c r="A109" s="19" t="s">
        <v>107</v>
      </c>
      <c r="B109" s="19" t="n">
        <v>6712</v>
      </c>
      <c r="C109" s="19" t="n">
        <v>5</v>
      </c>
      <c r="D109" s="19" t="n">
        <v>7</v>
      </c>
      <c r="E109" s="19" t="n">
        <v>0</v>
      </c>
      <c r="F109" s="19" t="n">
        <v>20</v>
      </c>
      <c r="G109" s="19" t="n">
        <f aca="false">IF(ISERROR(IF(INDEX(Strength!$F$2:$F$76,MATCH(B109,Strength!$A$2:$A$76,0))=A109,INDEX(Strength!$G$2:$G$76,MATCH(B109,Strength!$A$2:$A$76,0)),INDEX(Strength!$I$2:$I$76,MATCH(B109,Strength!$A$2:$A$76,0)))),"",IF(INDEX(Strength!$F$2:$F$76,MATCH(B109,Strength!$A$2:$A$76,0))=A109,INDEX(Strength!$G$2:$G$76,MATCH(B109,Strength!$A$2:$A$76,0)),INDEX(Strength!$I$2:$I$76,MATCH(B109,Strength!$A$2:$A$76,0))))</f>
        <v>16</v>
      </c>
      <c r="H109" s="19" t="n">
        <f aca="false">IF(ISERROR(INDEX(Strength!$V$2:$V$76,MATCH(B109,Strength!$A$2:$A$76,0))),"",INDEX(Strength!$V$2:$V$76,MATCH(B109,Strength!$A$2:$A$76,0)))</f>
        <v>66</v>
      </c>
      <c r="I109" s="20" t="n">
        <f aca="false">IF(ISERROR(INDEX(Strength!$U$2:$U$76,MATCH(B109,Strength!$A$2:$A$76,0))),0,INDEX(Strength!$U$2:$U$76,MATCH(B109,Strength!$A$2:$A$76,0)))</f>
        <v>10.8424908424908</v>
      </c>
    </row>
    <row r="110" customFormat="false" ht="15" hidden="false" customHeight="false" outlineLevel="0" collapsed="false">
      <c r="A110" s="19" t="s">
        <v>107</v>
      </c>
      <c r="B110" s="19" t="n">
        <v>8865</v>
      </c>
      <c r="C110" s="19" t="n">
        <v>5</v>
      </c>
      <c r="D110" s="19" t="n">
        <v>7</v>
      </c>
      <c r="E110" s="19" t="n">
        <v>0</v>
      </c>
      <c r="F110" s="19" t="n">
        <v>21</v>
      </c>
      <c r="G110" s="19" t="n">
        <f aca="false">IF(ISERROR(IF(INDEX(Strength!$F$2:$F$76,MATCH(B110,Strength!$A$2:$A$76,0))=A110,INDEX(Strength!$G$2:$G$76,MATCH(B110,Strength!$A$2:$A$76,0)),INDEX(Strength!$I$2:$I$76,MATCH(B110,Strength!$A$2:$A$76,0)))),"",IF(INDEX(Strength!$F$2:$F$76,MATCH(B110,Strength!$A$2:$A$76,0))=A110,INDEX(Strength!$G$2:$G$76,MATCH(B110,Strength!$A$2:$A$76,0)),INDEX(Strength!$I$2:$I$76,MATCH(B110,Strength!$A$2:$A$76,0))))</f>
        <v>19</v>
      </c>
      <c r="H110" s="19" t="n">
        <f aca="false">IF(ISERROR(INDEX(Strength!$V$2:$V$76,MATCH(B110,Strength!$A$2:$A$76,0))),"",INDEX(Strength!$V$2:$V$76,MATCH(B110,Strength!$A$2:$A$76,0)))</f>
        <v>48</v>
      </c>
      <c r="I110" s="20" t="n">
        <f aca="false">IF(ISERROR(INDEX(Strength!$U$2:$U$76,MATCH(B110,Strength!$A$2:$A$76,0))),0,INDEX(Strength!$U$2:$U$76,MATCH(B110,Strength!$A$2:$A$76,0)))</f>
        <v>25.7211538461538</v>
      </c>
    </row>
    <row r="111" customFormat="false" ht="15" hidden="false" customHeight="false" outlineLevel="0" collapsed="false">
      <c r="A111" s="19" t="s">
        <v>107</v>
      </c>
      <c r="B111" s="19" t="n">
        <v>9086</v>
      </c>
      <c r="C111" s="19" t="n">
        <v>5</v>
      </c>
      <c r="D111" s="19" t="n">
        <v>7</v>
      </c>
      <c r="E111" s="19" t="n">
        <v>0</v>
      </c>
      <c r="F111" s="19" t="n">
        <v>22</v>
      </c>
      <c r="G111" s="19" t="n">
        <f aca="false">IF(ISERROR(IF(INDEX(Strength!$F$2:$F$76,MATCH(B111,Strength!$A$2:$A$76,0))=A111,INDEX(Strength!$G$2:$G$76,MATCH(B111,Strength!$A$2:$A$76,0)),INDEX(Strength!$I$2:$I$76,MATCH(B111,Strength!$A$2:$A$76,0)))),"",IF(INDEX(Strength!$F$2:$F$76,MATCH(B111,Strength!$A$2:$A$76,0))=A111,INDEX(Strength!$G$2:$G$76,MATCH(B111,Strength!$A$2:$A$76,0)),INDEX(Strength!$I$2:$I$76,MATCH(B111,Strength!$A$2:$A$76,0))))</f>
        <v>10</v>
      </c>
      <c r="H111" s="19" t="n">
        <f aca="false">IF(ISERROR(INDEX(Strength!$V$2:$V$76,MATCH(B111,Strength!$A$2:$A$76,0))),"",INDEX(Strength!$V$2:$V$76,MATCH(B111,Strength!$A$2:$A$76,0)))</f>
        <v>54</v>
      </c>
      <c r="I111" s="20" t="n">
        <f aca="false">IF(ISERROR(INDEX(Strength!$U$2:$U$76,MATCH(B111,Strength!$A$2:$A$76,0))),0,INDEX(Strength!$U$2:$U$76,MATCH(B111,Strength!$A$2:$A$76,0)))</f>
        <v>21.9276556776557</v>
      </c>
    </row>
    <row r="112" customFormat="false" ht="15" hidden="false" customHeight="false" outlineLevel="0" collapsed="false">
      <c r="A112" s="19" t="s">
        <v>107</v>
      </c>
      <c r="B112" s="19" t="n">
        <v>3815</v>
      </c>
      <c r="C112" s="19" t="n">
        <v>5</v>
      </c>
      <c r="D112" s="19" t="n">
        <v>7</v>
      </c>
      <c r="E112" s="19" t="n">
        <v>0</v>
      </c>
      <c r="F112" s="19" t="n">
        <v>23</v>
      </c>
      <c r="G112" s="19" t="n">
        <f aca="false">IF(ISERROR(IF(INDEX(Strength!$F$2:$F$76,MATCH(B112,Strength!$A$2:$A$76,0))=A112,INDEX(Strength!$G$2:$G$76,MATCH(B112,Strength!$A$2:$A$76,0)),INDEX(Strength!$I$2:$I$76,MATCH(B112,Strength!$A$2:$A$76,0)))),"",IF(INDEX(Strength!$F$2:$F$76,MATCH(B112,Strength!$A$2:$A$76,0))=A112,INDEX(Strength!$G$2:$G$76,MATCH(B112,Strength!$A$2:$A$76,0)),INDEX(Strength!$I$2:$I$76,MATCH(B112,Strength!$A$2:$A$76,0))))</f>
        <v>45</v>
      </c>
      <c r="H112" s="19" t="n">
        <f aca="false">IF(ISERROR(INDEX(Strength!$V$2:$V$76,MATCH(B112,Strength!$A$2:$A$76,0))),"",INDEX(Strength!$V$2:$V$76,MATCH(B112,Strength!$A$2:$A$76,0)))</f>
        <v>39</v>
      </c>
      <c r="I112" s="20" t="n">
        <f aca="false">IF(ISERROR(INDEX(Strength!$U$2:$U$76,MATCH(B112,Strength!$A$2:$A$76,0))),0,INDEX(Strength!$U$2:$U$76,MATCH(B112,Strength!$A$2:$A$76,0)))</f>
        <v>33.2600732600733</v>
      </c>
    </row>
    <row r="113" customFormat="false" ht="15" hidden="false" customHeight="false" outlineLevel="0" collapsed="false">
      <c r="A113" s="19" t="s">
        <v>107</v>
      </c>
      <c r="B113" s="19" t="n">
        <v>2415</v>
      </c>
      <c r="C113" s="19" t="n">
        <v>4</v>
      </c>
      <c r="D113" s="19" t="n">
        <v>8</v>
      </c>
      <c r="E113" s="19" t="n">
        <v>0</v>
      </c>
      <c r="F113" s="19" t="n">
        <v>24</v>
      </c>
      <c r="G113" s="19" t="n">
        <f aca="false">IF(ISERROR(IF(INDEX(Strength!$F$2:$F$76,MATCH(B113,Strength!$A$2:$A$76,0))=A113,INDEX(Strength!$G$2:$G$76,MATCH(B113,Strength!$A$2:$A$76,0)),INDEX(Strength!$I$2:$I$76,MATCH(B113,Strength!$A$2:$A$76,0)))),"",IF(INDEX(Strength!$F$2:$F$76,MATCH(B113,Strength!$A$2:$A$76,0))=A113,INDEX(Strength!$G$2:$G$76,MATCH(B113,Strength!$A$2:$A$76,0)),INDEX(Strength!$I$2:$I$76,MATCH(B113,Strength!$A$2:$A$76,0))))</f>
        <v>9</v>
      </c>
      <c r="H113" s="19" t="n">
        <f aca="false">IF(ISERROR(INDEX(Strength!$V$2:$V$76,MATCH(B113,Strength!$A$2:$A$76,0))),"",INDEX(Strength!$V$2:$V$76,MATCH(B113,Strength!$A$2:$A$76,0)))</f>
        <v>71</v>
      </c>
      <c r="I113" s="20" t="n">
        <f aca="false">IF(ISERROR(INDEX(Strength!$U$2:$U$76,MATCH(B113,Strength!$A$2:$A$76,0))),0,INDEX(Strength!$U$2:$U$76,MATCH(B113,Strength!$A$2:$A$76,0)))</f>
        <v>6.90934065934066</v>
      </c>
    </row>
    <row r="114" customFormat="false" ht="15" hidden="false" customHeight="false" outlineLevel="0" collapsed="false">
      <c r="A114" s="19" t="s">
        <v>107</v>
      </c>
      <c r="B114" s="19" t="n">
        <v>3318</v>
      </c>
      <c r="C114" s="19" t="n">
        <v>3</v>
      </c>
      <c r="D114" s="19" t="n">
        <v>9</v>
      </c>
      <c r="E114" s="19" t="n">
        <v>0</v>
      </c>
      <c r="F114" s="19" t="n">
        <v>25</v>
      </c>
      <c r="G114" s="19" t="n">
        <f aca="false">IF(ISERROR(IF(INDEX(Strength!$F$2:$F$76,MATCH(B114,Strength!$A$2:$A$76,0))=A114,INDEX(Strength!$G$2:$G$76,MATCH(B114,Strength!$A$2:$A$76,0)),INDEX(Strength!$I$2:$I$76,MATCH(B114,Strength!$A$2:$A$76,0)))),"",IF(INDEX(Strength!$F$2:$F$76,MATCH(B114,Strength!$A$2:$A$76,0))=A114,INDEX(Strength!$G$2:$G$76,MATCH(B114,Strength!$A$2:$A$76,0)),INDEX(Strength!$I$2:$I$76,MATCH(B114,Strength!$A$2:$A$76,0))))</f>
        <v>21</v>
      </c>
      <c r="H114" s="19" t="n">
        <f aca="false">IF(ISERROR(INDEX(Strength!$V$2:$V$76,MATCH(B114,Strength!$A$2:$A$76,0))),"",INDEX(Strength!$V$2:$V$76,MATCH(B114,Strength!$A$2:$A$76,0)))</f>
        <v>58</v>
      </c>
      <c r="I114" s="20" t="n">
        <f aca="false">IF(ISERROR(INDEX(Strength!$U$2:$U$76,MATCH(B114,Strength!$A$2:$A$76,0))),0,INDEX(Strength!$U$2:$U$76,MATCH(B114,Strength!$A$2:$A$76,0)))</f>
        <v>19.9107142857143</v>
      </c>
    </row>
    <row r="115" customFormat="false" ht="15" hidden="false" customHeight="false" outlineLevel="0" collapsed="false">
      <c r="A115" s="19" t="s">
        <v>107</v>
      </c>
      <c r="B115" s="19" t="n">
        <v>9582</v>
      </c>
      <c r="C115" s="19" t="n">
        <v>3</v>
      </c>
      <c r="D115" s="19" t="n">
        <v>9</v>
      </c>
      <c r="E115" s="19" t="n">
        <v>0</v>
      </c>
      <c r="F115" s="19" t="n">
        <v>26</v>
      </c>
      <c r="G115" s="19" t="n">
        <f aca="false">IF(ISERROR(IF(INDEX(Strength!$F$2:$F$76,MATCH(B115,Strength!$A$2:$A$76,0))=A115,INDEX(Strength!$G$2:$G$76,MATCH(B115,Strength!$A$2:$A$76,0)),INDEX(Strength!$I$2:$I$76,MATCH(B115,Strength!$A$2:$A$76,0)))),"",IF(INDEX(Strength!$F$2:$F$76,MATCH(B115,Strength!$A$2:$A$76,0))=A115,INDEX(Strength!$G$2:$G$76,MATCH(B115,Strength!$A$2:$A$76,0)),INDEX(Strength!$I$2:$I$76,MATCH(B115,Strength!$A$2:$A$76,0))))</f>
        <v>8</v>
      </c>
      <c r="H115" s="19" t="n">
        <f aca="false">IF(ISERROR(INDEX(Strength!$V$2:$V$76,MATCH(B115,Strength!$A$2:$A$76,0))),"",INDEX(Strength!$V$2:$V$76,MATCH(B115,Strength!$A$2:$A$76,0)))</f>
        <v>70</v>
      </c>
      <c r="I115" s="20" t="n">
        <f aca="false">IF(ISERROR(INDEX(Strength!$U$2:$U$76,MATCH(B115,Strength!$A$2:$A$76,0))),0,INDEX(Strength!$U$2:$U$76,MATCH(B115,Strength!$A$2:$A$76,0)))</f>
        <v>7.32793522267206</v>
      </c>
    </row>
    <row r="116" customFormat="false" ht="15" hidden="false" customHeight="false" outlineLevel="0" collapsed="false">
      <c r="A116" s="19" t="s">
        <v>107</v>
      </c>
      <c r="B116" s="19" t="n">
        <v>8761</v>
      </c>
      <c r="C116" s="19" t="n">
        <v>3</v>
      </c>
      <c r="D116" s="19" t="n">
        <v>9</v>
      </c>
      <c r="E116" s="19" t="n">
        <v>0</v>
      </c>
      <c r="F116" s="19" t="n">
        <v>27</v>
      </c>
      <c r="G116" s="19" t="n">
        <f aca="false">IF(ISERROR(IF(INDEX(Strength!$F$2:$F$76,MATCH(B116,Strength!$A$2:$A$76,0))=A116,INDEX(Strength!$G$2:$G$76,MATCH(B116,Strength!$A$2:$A$76,0)),INDEX(Strength!$I$2:$I$76,MATCH(B116,Strength!$A$2:$A$76,0)))),"",IF(INDEX(Strength!$F$2:$F$76,MATCH(B116,Strength!$A$2:$A$76,0))=A116,INDEX(Strength!$G$2:$G$76,MATCH(B116,Strength!$A$2:$A$76,0)),INDEX(Strength!$I$2:$I$76,MATCH(B116,Strength!$A$2:$A$76,0))))</f>
        <v>14</v>
      </c>
      <c r="H116" s="19" t="n">
        <f aca="false">IF(ISERROR(INDEX(Strength!$V$2:$V$76,MATCH(B116,Strength!$A$2:$A$76,0))),"",INDEX(Strength!$V$2:$V$76,MATCH(B116,Strength!$A$2:$A$76,0)))</f>
        <v>67</v>
      </c>
      <c r="I116" s="20" t="n">
        <f aca="false">IF(ISERROR(INDEX(Strength!$U$2:$U$76,MATCH(B116,Strength!$A$2:$A$76,0))),0,INDEX(Strength!$U$2:$U$76,MATCH(B116,Strength!$A$2:$A$76,0)))</f>
        <v>10.2403846153846</v>
      </c>
    </row>
    <row r="117" customFormat="false" ht="15" hidden="false" customHeight="false" outlineLevel="0" collapsed="false">
      <c r="A117" s="19" t="s">
        <v>107</v>
      </c>
      <c r="B117" s="19" t="n">
        <v>5293</v>
      </c>
      <c r="C117" s="19" t="n">
        <v>3</v>
      </c>
      <c r="D117" s="19" t="n">
        <v>9</v>
      </c>
      <c r="E117" s="19" t="n">
        <v>0</v>
      </c>
      <c r="F117" s="19" t="n">
        <v>28</v>
      </c>
      <c r="G117" s="19" t="n">
        <f aca="false">IF(ISERROR(IF(INDEX(Strength!$F$2:$F$76,MATCH(B117,Strength!$A$2:$A$76,0))=A117,INDEX(Strength!$G$2:$G$76,MATCH(B117,Strength!$A$2:$A$76,0)),INDEX(Strength!$I$2:$I$76,MATCH(B117,Strength!$A$2:$A$76,0)))),"",IF(INDEX(Strength!$F$2:$F$76,MATCH(B117,Strength!$A$2:$A$76,0))=A117,INDEX(Strength!$G$2:$G$76,MATCH(B117,Strength!$A$2:$A$76,0)),INDEX(Strength!$I$2:$I$76,MATCH(B117,Strength!$A$2:$A$76,0))))</f>
        <v>20</v>
      </c>
      <c r="H117" s="19" t="n">
        <f aca="false">IF(ISERROR(INDEX(Strength!$V$2:$V$76,MATCH(B117,Strength!$A$2:$A$76,0))),"",INDEX(Strength!$V$2:$V$76,MATCH(B117,Strength!$A$2:$A$76,0)))</f>
        <v>59</v>
      </c>
      <c r="I117" s="20" t="n">
        <f aca="false">IF(ISERROR(INDEX(Strength!$U$2:$U$76,MATCH(B117,Strength!$A$2:$A$76,0))),0,INDEX(Strength!$U$2:$U$76,MATCH(B117,Strength!$A$2:$A$76,0)))</f>
        <v>18.6000955566173</v>
      </c>
    </row>
    <row r="118" customFormat="false" ht="15" hidden="false" customHeight="false" outlineLevel="0" collapsed="false">
      <c r="A118" s="19" t="s">
        <v>107</v>
      </c>
      <c r="B118" s="19" t="n">
        <v>1795</v>
      </c>
      <c r="C118" s="19" t="n">
        <v>3</v>
      </c>
      <c r="D118" s="19" t="n">
        <v>7</v>
      </c>
      <c r="E118" s="19" t="n">
        <v>0</v>
      </c>
      <c r="F118" s="19" t="n">
        <v>29</v>
      </c>
      <c r="G118" s="19" t="n">
        <f aca="false">IF(ISERROR(IF(INDEX(Strength!$F$2:$F$76,MATCH(B118,Strength!$A$2:$A$76,0))=A118,INDEX(Strength!$G$2:$G$76,MATCH(B118,Strength!$A$2:$A$76,0)),INDEX(Strength!$I$2:$I$76,MATCH(B118,Strength!$A$2:$A$76,0)))),"",IF(INDEX(Strength!$F$2:$F$76,MATCH(B118,Strength!$A$2:$A$76,0))=A118,INDEX(Strength!$G$2:$G$76,MATCH(B118,Strength!$A$2:$A$76,0)),INDEX(Strength!$I$2:$I$76,MATCH(B118,Strength!$A$2:$A$76,0))))</f>
        <v>5</v>
      </c>
      <c r="H118" s="19" t="n">
        <f aca="false">IF(ISERROR(INDEX(Strength!$V$2:$V$76,MATCH(B118,Strength!$A$2:$A$76,0))),"",INDEX(Strength!$V$2:$V$76,MATCH(B118,Strength!$A$2:$A$76,0)))</f>
        <v>74</v>
      </c>
      <c r="I118" s="20" t="n">
        <f aca="false">IF(ISERROR(INDEX(Strength!$U$2:$U$76,MATCH(B118,Strength!$A$2:$A$76,0))),0,INDEX(Strength!$U$2:$U$76,MATCH(B118,Strength!$A$2:$A$76,0)))</f>
        <v>0</v>
      </c>
    </row>
    <row r="119" customFormat="false" ht="15" hidden="false" customHeight="false" outlineLevel="0" collapsed="false">
      <c r="A119" s="19" t="s">
        <v>107</v>
      </c>
      <c r="B119" s="19" t="n">
        <v>8849</v>
      </c>
      <c r="C119" s="19" t="n">
        <v>3</v>
      </c>
      <c r="D119" s="19" t="n">
        <v>5</v>
      </c>
      <c r="E119" s="19" t="n">
        <v>0</v>
      </c>
      <c r="F119" s="19" t="n">
        <v>30</v>
      </c>
      <c r="G119" s="19" t="n">
        <f aca="false">IF(ISERROR(IF(INDEX(Strength!$F$2:$F$76,MATCH(B119,Strength!$A$2:$A$76,0))=A119,INDEX(Strength!$G$2:$G$76,MATCH(B119,Strength!$A$2:$A$76,0)),INDEX(Strength!$I$2:$I$76,MATCH(B119,Strength!$A$2:$A$76,0)))),"",IF(INDEX(Strength!$F$2:$F$76,MATCH(B119,Strength!$A$2:$A$76,0))=A119,INDEX(Strength!$G$2:$G$76,MATCH(B119,Strength!$A$2:$A$76,0)),INDEX(Strength!$I$2:$I$76,MATCH(B119,Strength!$A$2:$A$76,0))))</f>
        <v>4</v>
      </c>
      <c r="H119" s="19" t="n">
        <f aca="false">IF(ISERROR(INDEX(Strength!$V$2:$V$76,MATCH(B119,Strength!$A$2:$A$76,0))),"",INDEX(Strength!$V$2:$V$76,MATCH(B119,Strength!$A$2:$A$76,0)))</f>
        <v>73</v>
      </c>
      <c r="I119" s="20" t="n">
        <f aca="false">IF(ISERROR(INDEX(Strength!$U$2:$U$76,MATCH(B119,Strength!$A$2:$A$76,0))),0,INDEX(Strength!$U$2:$U$76,MATCH(B119,Strength!$A$2:$A$76,0)))</f>
        <v>4.10866910866911</v>
      </c>
    </row>
    <row r="120" customFormat="false" ht="15" hidden="false" customHeight="false" outlineLevel="0" collapsed="false">
      <c r="A120" s="19" t="s">
        <v>108</v>
      </c>
      <c r="B120" s="19" t="n">
        <v>1833</v>
      </c>
      <c r="C120" s="19" t="n">
        <v>12</v>
      </c>
      <c r="D120" s="19" t="n">
        <v>0</v>
      </c>
      <c r="E120" s="19" t="n">
        <v>0</v>
      </c>
      <c r="F120" s="19" t="n">
        <v>1</v>
      </c>
      <c r="G120" s="19" t="n">
        <f aca="false">IF(ISERROR(IF(INDEX(Strength!$F$2:$F$76,MATCH(B120,Strength!$A$2:$A$76,0))=A120,INDEX(Strength!$G$2:$G$76,MATCH(B120,Strength!$A$2:$A$76,0)),INDEX(Strength!$I$2:$I$76,MATCH(B120,Strength!$A$2:$A$76,0)))),"",IF(INDEX(Strength!$F$2:$F$76,MATCH(B120,Strength!$A$2:$A$76,0))=A120,INDEX(Strength!$G$2:$G$76,MATCH(B120,Strength!$A$2:$A$76,0)),INDEX(Strength!$I$2:$I$76,MATCH(B120,Strength!$A$2:$A$76,0))))</f>
        <v>76</v>
      </c>
      <c r="H120" s="19" t="n">
        <f aca="false">IF(ISERROR(INDEX(Strength!$V$2:$V$76,MATCH(B120,Strength!$A$2:$A$76,0))),"",INDEX(Strength!$V$2:$V$76,MATCH(B120,Strength!$A$2:$A$76,0)))</f>
        <v>1</v>
      </c>
      <c r="I120" s="20" t="n">
        <f aca="false">IF(ISERROR(INDEX(Strength!$U$2:$U$76,MATCH(B120,Strength!$A$2:$A$76,0))),0,INDEX(Strength!$U$2:$U$76,MATCH(B120,Strength!$A$2:$A$76,0)))</f>
        <v>100</v>
      </c>
    </row>
    <row r="121" customFormat="false" ht="15" hidden="false" customHeight="false" outlineLevel="0" collapsed="false">
      <c r="A121" s="19" t="s">
        <v>108</v>
      </c>
      <c r="B121" s="19" t="n">
        <v>1771</v>
      </c>
      <c r="C121" s="19" t="n">
        <v>10</v>
      </c>
      <c r="D121" s="19" t="n">
        <v>2</v>
      </c>
      <c r="E121" s="19" t="n">
        <v>0</v>
      </c>
      <c r="F121" s="19" t="n">
        <v>2</v>
      </c>
      <c r="G121" s="19" t="n">
        <f aca="false">IF(ISERROR(IF(INDEX(Strength!$F$2:$F$76,MATCH(B121,Strength!$A$2:$A$76,0))=A121,INDEX(Strength!$G$2:$G$76,MATCH(B121,Strength!$A$2:$A$76,0)),INDEX(Strength!$I$2:$I$76,MATCH(B121,Strength!$A$2:$A$76,0)))),"",IF(INDEX(Strength!$F$2:$F$76,MATCH(B121,Strength!$A$2:$A$76,0))=A121,INDEX(Strength!$G$2:$G$76,MATCH(B121,Strength!$A$2:$A$76,0)),INDEX(Strength!$I$2:$I$76,MATCH(B121,Strength!$A$2:$A$76,0))))</f>
        <v>72</v>
      </c>
      <c r="H121" s="19" t="n">
        <f aca="false">IF(ISERROR(INDEX(Strength!$V$2:$V$76,MATCH(B121,Strength!$A$2:$A$76,0))),"",INDEX(Strength!$V$2:$V$76,MATCH(B121,Strength!$A$2:$A$76,0)))</f>
        <v>5</v>
      </c>
      <c r="I121" s="20" t="n">
        <f aca="false">IF(ISERROR(INDEX(Strength!$U$2:$U$76,MATCH(B121,Strength!$A$2:$A$76,0))),0,INDEX(Strength!$U$2:$U$76,MATCH(B121,Strength!$A$2:$A$76,0)))</f>
        <v>84.1941391941392</v>
      </c>
    </row>
    <row r="122" customFormat="false" ht="15" hidden="false" customHeight="false" outlineLevel="0" collapsed="false">
      <c r="A122" s="19" t="s">
        <v>108</v>
      </c>
      <c r="B122" s="19" t="n">
        <v>1683</v>
      </c>
      <c r="C122" s="19" t="n">
        <v>9</v>
      </c>
      <c r="D122" s="19" t="n">
        <v>2</v>
      </c>
      <c r="E122" s="19" t="n">
        <v>1</v>
      </c>
      <c r="F122" s="19" t="n">
        <v>3</v>
      </c>
      <c r="G122" s="19" t="n">
        <f aca="false">IF(ISERROR(IF(INDEX(Strength!$F$2:$F$76,MATCH(B122,Strength!$A$2:$A$76,0))=A122,INDEX(Strength!$G$2:$G$76,MATCH(B122,Strength!$A$2:$A$76,0)),INDEX(Strength!$I$2:$I$76,MATCH(B122,Strength!$A$2:$A$76,0)))),"",IF(INDEX(Strength!$F$2:$F$76,MATCH(B122,Strength!$A$2:$A$76,0))=A122,INDEX(Strength!$G$2:$G$76,MATCH(B122,Strength!$A$2:$A$76,0)),INDEX(Strength!$I$2:$I$76,MATCH(B122,Strength!$A$2:$A$76,0))))</f>
        <v>53</v>
      </c>
      <c r="H122" s="19" t="n">
        <f aca="false">IF(ISERROR(INDEX(Strength!$V$2:$V$76,MATCH(B122,Strength!$A$2:$A$76,0))),"",INDEX(Strength!$V$2:$V$76,MATCH(B122,Strength!$A$2:$A$76,0)))</f>
        <v>7</v>
      </c>
      <c r="I122" s="20" t="n">
        <f aca="false">IF(ISERROR(INDEX(Strength!$U$2:$U$76,MATCH(B122,Strength!$A$2:$A$76,0))),0,INDEX(Strength!$U$2:$U$76,MATCH(B122,Strength!$A$2:$A$76,0)))</f>
        <v>77.2275641025641</v>
      </c>
    </row>
    <row r="123" customFormat="false" ht="15" hidden="false" customHeight="false" outlineLevel="0" collapsed="false">
      <c r="A123" s="19" t="s">
        <v>108</v>
      </c>
      <c r="B123" s="19" t="n">
        <v>1648</v>
      </c>
      <c r="C123" s="19" t="n">
        <v>8</v>
      </c>
      <c r="D123" s="19" t="n">
        <v>4</v>
      </c>
      <c r="E123" s="19" t="n">
        <v>0</v>
      </c>
      <c r="F123" s="19" t="n">
        <v>4</v>
      </c>
      <c r="G123" s="19" t="n">
        <f aca="false">IF(ISERROR(IF(INDEX(Strength!$F$2:$F$76,MATCH(B123,Strength!$A$2:$A$76,0))=A123,INDEX(Strength!$G$2:$G$76,MATCH(B123,Strength!$A$2:$A$76,0)),INDEX(Strength!$I$2:$I$76,MATCH(B123,Strength!$A$2:$A$76,0)))),"",IF(INDEX(Strength!$F$2:$F$76,MATCH(B123,Strength!$A$2:$A$76,0))=A123,INDEX(Strength!$G$2:$G$76,MATCH(B123,Strength!$A$2:$A$76,0)),INDEX(Strength!$I$2:$I$76,MATCH(B123,Strength!$A$2:$A$76,0))))</f>
        <v>58</v>
      </c>
      <c r="H123" s="19" t="n">
        <f aca="false">IF(ISERROR(INDEX(Strength!$V$2:$V$76,MATCH(B123,Strength!$A$2:$A$76,0))),"",INDEX(Strength!$V$2:$V$76,MATCH(B123,Strength!$A$2:$A$76,0)))</f>
        <v>12</v>
      </c>
      <c r="I123" s="20" t="n">
        <f aca="false">IF(ISERROR(INDEX(Strength!$U$2:$U$76,MATCH(B123,Strength!$A$2:$A$76,0))),0,INDEX(Strength!$U$2:$U$76,MATCH(B123,Strength!$A$2:$A$76,0)))</f>
        <v>55.6410256410256</v>
      </c>
    </row>
    <row r="124" customFormat="false" ht="15" hidden="false" customHeight="false" outlineLevel="0" collapsed="false">
      <c r="A124" s="19" t="s">
        <v>108</v>
      </c>
      <c r="B124" s="19" t="n">
        <v>1261</v>
      </c>
      <c r="C124" s="19" t="n">
        <v>8</v>
      </c>
      <c r="D124" s="19" t="n">
        <v>4</v>
      </c>
      <c r="E124" s="19" t="n">
        <v>0</v>
      </c>
      <c r="F124" s="19" t="n">
        <v>5</v>
      </c>
      <c r="G124" s="19" t="n">
        <f aca="false">IF(ISERROR(IF(INDEX(Strength!$F$2:$F$76,MATCH(B124,Strength!$A$2:$A$76,0))=A124,INDEX(Strength!$G$2:$G$76,MATCH(B124,Strength!$A$2:$A$76,0)),INDEX(Strength!$I$2:$I$76,MATCH(B124,Strength!$A$2:$A$76,0)))),"",IF(INDEX(Strength!$F$2:$F$76,MATCH(B124,Strength!$A$2:$A$76,0))=A124,INDEX(Strength!$G$2:$G$76,MATCH(B124,Strength!$A$2:$A$76,0)),INDEX(Strength!$I$2:$I$76,MATCH(B124,Strength!$A$2:$A$76,0))))</f>
        <v>51</v>
      </c>
      <c r="H124" s="19" t="n">
        <f aca="false">IF(ISERROR(INDEX(Strength!$V$2:$V$76,MATCH(B124,Strength!$A$2:$A$76,0))),"",INDEX(Strength!$V$2:$V$76,MATCH(B124,Strength!$A$2:$A$76,0)))</f>
        <v>15</v>
      </c>
      <c r="I124" s="20" t="n">
        <f aca="false">IF(ISERROR(INDEX(Strength!$U$2:$U$76,MATCH(B124,Strength!$A$2:$A$76,0))),0,INDEX(Strength!$U$2:$U$76,MATCH(B124,Strength!$A$2:$A$76,0)))</f>
        <v>53.6721611721612</v>
      </c>
    </row>
    <row r="125" customFormat="false" ht="15" hidden="false" customHeight="false" outlineLevel="0" collapsed="false">
      <c r="A125" s="19" t="s">
        <v>108</v>
      </c>
      <c r="B125" s="19" t="n">
        <v>5109</v>
      </c>
      <c r="C125" s="19" t="n">
        <v>8</v>
      </c>
      <c r="D125" s="19" t="n">
        <v>4</v>
      </c>
      <c r="E125" s="19" t="n">
        <v>0</v>
      </c>
      <c r="F125" s="19" t="n">
        <v>6</v>
      </c>
      <c r="G125" s="19" t="n">
        <f aca="false">IF(ISERROR(IF(INDEX(Strength!$F$2:$F$76,MATCH(B125,Strength!$A$2:$A$76,0))=A125,INDEX(Strength!$G$2:$G$76,MATCH(B125,Strength!$A$2:$A$76,0)),INDEX(Strength!$I$2:$I$76,MATCH(B125,Strength!$A$2:$A$76,0)))),"",IF(INDEX(Strength!$F$2:$F$76,MATCH(B125,Strength!$A$2:$A$76,0))=A125,INDEX(Strength!$G$2:$G$76,MATCH(B125,Strength!$A$2:$A$76,0)),INDEX(Strength!$I$2:$I$76,MATCH(B125,Strength!$A$2:$A$76,0))))</f>
        <v>30</v>
      </c>
      <c r="H125" s="19" t="n">
        <f aca="false">IF(ISERROR(INDEX(Strength!$V$2:$V$76,MATCH(B125,Strength!$A$2:$A$76,0))),"",INDEX(Strength!$V$2:$V$76,MATCH(B125,Strength!$A$2:$A$76,0)))</f>
        <v>16</v>
      </c>
      <c r="I125" s="20" t="n">
        <f aca="false">IF(ISERROR(INDEX(Strength!$U$2:$U$76,MATCH(B125,Strength!$A$2:$A$76,0))),0,INDEX(Strength!$U$2:$U$76,MATCH(B125,Strength!$A$2:$A$76,0)))</f>
        <v>50.8058608058608</v>
      </c>
    </row>
    <row r="126" customFormat="false" ht="15" hidden="false" customHeight="false" outlineLevel="0" collapsed="false">
      <c r="A126" s="19" t="s">
        <v>108</v>
      </c>
      <c r="B126" s="19" t="n">
        <v>4509</v>
      </c>
      <c r="C126" s="19" t="n">
        <v>7</v>
      </c>
      <c r="D126" s="19" t="n">
        <v>4</v>
      </c>
      <c r="E126" s="19" t="n">
        <v>1</v>
      </c>
      <c r="F126" s="19" t="n">
        <v>7</v>
      </c>
      <c r="G126" s="19" t="n">
        <f aca="false">IF(ISERROR(IF(INDEX(Strength!$F$2:$F$76,MATCH(B126,Strength!$A$2:$A$76,0))=A126,INDEX(Strength!$G$2:$G$76,MATCH(B126,Strength!$A$2:$A$76,0)),INDEX(Strength!$I$2:$I$76,MATCH(B126,Strength!$A$2:$A$76,0)))),"",IF(INDEX(Strength!$F$2:$F$76,MATCH(B126,Strength!$A$2:$A$76,0))=A126,INDEX(Strength!$G$2:$G$76,MATCH(B126,Strength!$A$2:$A$76,0)),INDEX(Strength!$I$2:$I$76,MATCH(B126,Strength!$A$2:$A$76,0))))</f>
        <v>46</v>
      </c>
      <c r="H126" s="19" t="n">
        <f aca="false">IF(ISERROR(INDEX(Strength!$V$2:$V$76,MATCH(B126,Strength!$A$2:$A$76,0))),"",INDEX(Strength!$V$2:$V$76,MATCH(B126,Strength!$A$2:$A$76,0)))</f>
        <v>13</v>
      </c>
      <c r="I126" s="20" t="n">
        <f aca="false">IF(ISERROR(INDEX(Strength!$U$2:$U$76,MATCH(B126,Strength!$A$2:$A$76,0))),0,INDEX(Strength!$U$2:$U$76,MATCH(B126,Strength!$A$2:$A$76,0)))</f>
        <v>55.1242236024845</v>
      </c>
    </row>
    <row r="127" customFormat="false" ht="15" hidden="false" customHeight="false" outlineLevel="0" collapsed="false">
      <c r="A127" s="19" t="s">
        <v>108</v>
      </c>
      <c r="B127" s="19" t="n">
        <v>4189</v>
      </c>
      <c r="C127" s="19" t="n">
        <v>6</v>
      </c>
      <c r="D127" s="19" t="n">
        <v>5</v>
      </c>
      <c r="E127" s="19" t="n">
        <v>1</v>
      </c>
      <c r="F127" s="19" t="n">
        <v>8</v>
      </c>
      <c r="G127" s="19" t="n">
        <f aca="false">IF(ISERROR(IF(INDEX(Strength!$F$2:$F$76,MATCH(B127,Strength!$A$2:$A$76,0))=A127,INDEX(Strength!$G$2:$G$76,MATCH(B127,Strength!$A$2:$A$76,0)),INDEX(Strength!$I$2:$I$76,MATCH(B127,Strength!$A$2:$A$76,0)))),"",IF(INDEX(Strength!$F$2:$F$76,MATCH(B127,Strength!$A$2:$A$76,0))=A127,INDEX(Strength!$G$2:$G$76,MATCH(B127,Strength!$A$2:$A$76,0)),INDEX(Strength!$I$2:$I$76,MATCH(B127,Strength!$A$2:$A$76,0))))</f>
        <v>50</v>
      </c>
      <c r="H127" s="19" t="n">
        <f aca="false">IF(ISERROR(INDEX(Strength!$V$2:$V$76,MATCH(B127,Strength!$A$2:$A$76,0))),"",INDEX(Strength!$V$2:$V$76,MATCH(B127,Strength!$A$2:$A$76,0)))</f>
        <v>9</v>
      </c>
      <c r="I127" s="20" t="n">
        <f aca="false">IF(ISERROR(INDEX(Strength!$U$2:$U$76,MATCH(B127,Strength!$A$2:$A$76,0))),0,INDEX(Strength!$U$2:$U$76,MATCH(B127,Strength!$A$2:$A$76,0)))</f>
        <v>66.6781135531136</v>
      </c>
    </row>
    <row r="128" customFormat="false" ht="15" hidden="false" customHeight="false" outlineLevel="0" collapsed="false">
      <c r="A128" s="19" t="s">
        <v>108</v>
      </c>
      <c r="B128" s="19" t="n">
        <v>6340</v>
      </c>
      <c r="C128" s="19" t="n">
        <v>7</v>
      </c>
      <c r="D128" s="19" t="n">
        <v>5</v>
      </c>
      <c r="E128" s="19" t="n">
        <v>0</v>
      </c>
      <c r="F128" s="19" t="n">
        <v>9</v>
      </c>
      <c r="G128" s="19" t="n">
        <f aca="false">IF(ISERROR(IF(INDEX(Strength!$F$2:$F$76,MATCH(B128,Strength!$A$2:$A$76,0))=A128,INDEX(Strength!$G$2:$G$76,MATCH(B128,Strength!$A$2:$A$76,0)),INDEX(Strength!$I$2:$I$76,MATCH(B128,Strength!$A$2:$A$76,0)))),"",IF(INDEX(Strength!$F$2:$F$76,MATCH(B128,Strength!$A$2:$A$76,0))=A128,INDEX(Strength!$G$2:$G$76,MATCH(B128,Strength!$A$2:$A$76,0)),INDEX(Strength!$I$2:$I$76,MATCH(B128,Strength!$A$2:$A$76,0))))</f>
        <v>34</v>
      </c>
      <c r="H128" s="19" t="n">
        <f aca="false">IF(ISERROR(INDEX(Strength!$V$2:$V$76,MATCH(B128,Strength!$A$2:$A$76,0))),"",INDEX(Strength!$V$2:$V$76,MATCH(B128,Strength!$A$2:$A$76,0)))</f>
        <v>21</v>
      </c>
      <c r="I128" s="20" t="n">
        <f aca="false">IF(ISERROR(INDEX(Strength!$U$2:$U$76,MATCH(B128,Strength!$A$2:$A$76,0))),0,INDEX(Strength!$U$2:$U$76,MATCH(B128,Strength!$A$2:$A$76,0)))</f>
        <v>45.4349816849817</v>
      </c>
    </row>
    <row r="129" customFormat="false" ht="15" hidden="false" customHeight="false" outlineLevel="0" collapsed="false">
      <c r="A129" s="19" t="s">
        <v>108</v>
      </c>
      <c r="B129" s="19" t="n">
        <v>9522</v>
      </c>
      <c r="C129" s="19" t="n">
        <v>6</v>
      </c>
      <c r="D129" s="19" t="n">
        <v>4</v>
      </c>
      <c r="E129" s="19" t="n">
        <v>2</v>
      </c>
      <c r="F129" s="19" t="n">
        <v>10</v>
      </c>
      <c r="G129" s="19" t="n">
        <f aca="false">IF(ISERROR(IF(INDEX(Strength!$F$2:$F$76,MATCH(B129,Strength!$A$2:$A$76,0))=A129,INDEX(Strength!$G$2:$G$76,MATCH(B129,Strength!$A$2:$A$76,0)),INDEX(Strength!$I$2:$I$76,MATCH(B129,Strength!$A$2:$A$76,0)))),"",IF(INDEX(Strength!$F$2:$F$76,MATCH(B129,Strength!$A$2:$A$76,0))=A129,INDEX(Strength!$G$2:$G$76,MATCH(B129,Strength!$A$2:$A$76,0)),INDEX(Strength!$I$2:$I$76,MATCH(B129,Strength!$A$2:$A$76,0))))</f>
        <v>31</v>
      </c>
      <c r="H129" s="19" t="n">
        <f aca="false">IF(ISERROR(INDEX(Strength!$V$2:$V$76,MATCH(B129,Strength!$A$2:$A$76,0))),"",INDEX(Strength!$V$2:$V$76,MATCH(B129,Strength!$A$2:$A$76,0)))</f>
        <v>37</v>
      </c>
      <c r="I129" s="20" t="n">
        <f aca="false">IF(ISERROR(INDEX(Strength!$U$2:$U$76,MATCH(B129,Strength!$A$2:$A$76,0))),0,INDEX(Strength!$U$2:$U$76,MATCH(B129,Strength!$A$2:$A$76,0)))</f>
        <v>34.8855311355311</v>
      </c>
    </row>
    <row r="130" customFormat="false" ht="15" hidden="false" customHeight="false" outlineLevel="0" collapsed="false">
      <c r="A130" s="19" t="s">
        <v>108</v>
      </c>
      <c r="B130" s="19" t="n">
        <v>6910</v>
      </c>
      <c r="C130" s="19" t="n">
        <v>6</v>
      </c>
      <c r="D130" s="19" t="n">
        <v>6</v>
      </c>
      <c r="E130" s="19" t="n">
        <v>0</v>
      </c>
      <c r="F130" s="19" t="n">
        <v>11</v>
      </c>
      <c r="G130" s="19" t="n">
        <f aca="false">IF(ISERROR(IF(INDEX(Strength!$F$2:$F$76,MATCH(B130,Strength!$A$2:$A$76,0))=A130,INDEX(Strength!$G$2:$G$76,MATCH(B130,Strength!$A$2:$A$76,0)),INDEX(Strength!$I$2:$I$76,MATCH(B130,Strength!$A$2:$A$76,0)))),"",IF(INDEX(Strength!$F$2:$F$76,MATCH(B130,Strength!$A$2:$A$76,0))=A130,INDEX(Strength!$G$2:$G$76,MATCH(B130,Strength!$A$2:$A$76,0)),INDEX(Strength!$I$2:$I$76,MATCH(B130,Strength!$A$2:$A$76,0))))</f>
        <v>25</v>
      </c>
      <c r="H130" s="19" t="n">
        <f aca="false">IF(ISERROR(INDEX(Strength!$V$2:$V$76,MATCH(B130,Strength!$A$2:$A$76,0))),"",INDEX(Strength!$V$2:$V$76,MATCH(B130,Strength!$A$2:$A$76,0)))</f>
        <v>40</v>
      </c>
      <c r="I130" s="20" t="n">
        <f aca="false">IF(ISERROR(INDEX(Strength!$U$2:$U$76,MATCH(B130,Strength!$A$2:$A$76,0))),0,INDEX(Strength!$U$2:$U$76,MATCH(B130,Strength!$A$2:$A$76,0)))</f>
        <v>31.9230769230769</v>
      </c>
    </row>
    <row r="131" customFormat="false" ht="15" hidden="false" customHeight="false" outlineLevel="0" collapsed="false">
      <c r="A131" s="19" t="s">
        <v>108</v>
      </c>
      <c r="B131" s="19" t="n">
        <v>8577</v>
      </c>
      <c r="C131" s="19" t="n">
        <v>5</v>
      </c>
      <c r="D131" s="19" t="n">
        <v>6</v>
      </c>
      <c r="E131" s="19" t="n">
        <v>1</v>
      </c>
      <c r="F131" s="19" t="n">
        <v>12</v>
      </c>
      <c r="G131" s="19" t="n">
        <f aca="false">IF(ISERROR(IF(INDEX(Strength!$F$2:$F$76,MATCH(B131,Strength!$A$2:$A$76,0))=A131,INDEX(Strength!$G$2:$G$76,MATCH(B131,Strength!$A$2:$A$76,0)),INDEX(Strength!$I$2:$I$76,MATCH(B131,Strength!$A$2:$A$76,0)))),"",IF(INDEX(Strength!$F$2:$F$76,MATCH(B131,Strength!$A$2:$A$76,0))=A131,INDEX(Strength!$G$2:$G$76,MATCH(B131,Strength!$A$2:$A$76,0)),INDEX(Strength!$I$2:$I$76,MATCH(B131,Strength!$A$2:$A$76,0))))</f>
        <v>23</v>
      </c>
      <c r="H131" s="19" t="n">
        <f aca="false">IF(ISERROR(INDEX(Strength!$V$2:$V$76,MATCH(B131,Strength!$A$2:$A$76,0))),"",INDEX(Strength!$V$2:$V$76,MATCH(B131,Strength!$A$2:$A$76,0)))</f>
        <v>47</v>
      </c>
      <c r="I131" s="20" t="n">
        <f aca="false">IF(ISERROR(INDEX(Strength!$U$2:$U$76,MATCH(B131,Strength!$A$2:$A$76,0))),0,INDEX(Strength!$U$2:$U$76,MATCH(B131,Strength!$A$2:$A$76,0)))</f>
        <v>28.5889110889111</v>
      </c>
    </row>
    <row r="132" customFormat="false" ht="15" hidden="false" customHeight="false" outlineLevel="0" collapsed="false">
      <c r="A132" s="19" t="s">
        <v>108</v>
      </c>
      <c r="B132" s="19" t="n">
        <v>3091</v>
      </c>
      <c r="C132" s="19" t="n">
        <v>6</v>
      </c>
      <c r="D132" s="19" t="n">
        <v>6</v>
      </c>
      <c r="E132" s="19" t="n">
        <v>0</v>
      </c>
      <c r="F132" s="19" t="n">
        <v>13</v>
      </c>
      <c r="G132" s="19" t="n">
        <f aca="false">IF(ISERROR(IF(INDEX(Strength!$F$2:$F$76,MATCH(B132,Strength!$A$2:$A$76,0))=A132,INDEX(Strength!$G$2:$G$76,MATCH(B132,Strength!$A$2:$A$76,0)),INDEX(Strength!$I$2:$I$76,MATCH(B132,Strength!$A$2:$A$76,0)))),"",IF(INDEX(Strength!$F$2:$F$76,MATCH(B132,Strength!$A$2:$A$76,0))=A132,INDEX(Strength!$G$2:$G$76,MATCH(B132,Strength!$A$2:$A$76,0)),INDEX(Strength!$I$2:$I$76,MATCH(B132,Strength!$A$2:$A$76,0))))</f>
        <v>29</v>
      </c>
      <c r="H132" s="19" t="n">
        <f aca="false">IF(ISERROR(INDEX(Strength!$V$2:$V$76,MATCH(B132,Strength!$A$2:$A$76,0))),"",INDEX(Strength!$V$2:$V$76,MATCH(B132,Strength!$A$2:$A$76,0)))</f>
        <v>28</v>
      </c>
      <c r="I132" s="20" t="n">
        <f aca="false">IF(ISERROR(INDEX(Strength!$U$2:$U$76,MATCH(B132,Strength!$A$2:$A$76,0))),0,INDEX(Strength!$U$2:$U$76,MATCH(B132,Strength!$A$2:$A$76,0)))</f>
        <v>38.6663336663337</v>
      </c>
    </row>
    <row r="133" customFormat="false" ht="15" hidden="false" customHeight="false" outlineLevel="0" collapsed="false">
      <c r="A133" s="19" t="s">
        <v>108</v>
      </c>
      <c r="B133" s="19" t="n">
        <v>8815</v>
      </c>
      <c r="C133" s="19" t="n">
        <v>6</v>
      </c>
      <c r="D133" s="19" t="n">
        <v>6</v>
      </c>
      <c r="E133" s="19" t="n">
        <v>0</v>
      </c>
      <c r="F133" s="19" t="n">
        <v>14</v>
      </c>
      <c r="G133" s="19" t="n">
        <f aca="false">IF(ISERROR(IF(INDEX(Strength!$F$2:$F$76,MATCH(B133,Strength!$A$2:$A$76,0))=A133,INDEX(Strength!$G$2:$G$76,MATCH(B133,Strength!$A$2:$A$76,0)),INDEX(Strength!$I$2:$I$76,MATCH(B133,Strength!$A$2:$A$76,0)))),"",IF(INDEX(Strength!$F$2:$F$76,MATCH(B133,Strength!$A$2:$A$76,0))=A133,INDEX(Strength!$G$2:$G$76,MATCH(B133,Strength!$A$2:$A$76,0)),INDEX(Strength!$I$2:$I$76,MATCH(B133,Strength!$A$2:$A$76,0))))</f>
        <v>24</v>
      </c>
      <c r="H133" s="19" t="n">
        <f aca="false">IF(ISERROR(INDEX(Strength!$V$2:$V$76,MATCH(B133,Strength!$A$2:$A$76,0))),"",INDEX(Strength!$V$2:$V$76,MATCH(B133,Strength!$A$2:$A$76,0)))</f>
        <v>41</v>
      </c>
      <c r="I133" s="20" t="n">
        <f aca="false">IF(ISERROR(INDEX(Strength!$U$2:$U$76,MATCH(B133,Strength!$A$2:$A$76,0))),0,INDEX(Strength!$U$2:$U$76,MATCH(B133,Strength!$A$2:$A$76,0)))</f>
        <v>31.9230769230769</v>
      </c>
    </row>
    <row r="134" customFormat="false" ht="15" hidden="false" customHeight="false" outlineLevel="0" collapsed="false">
      <c r="A134" s="19" t="s">
        <v>108</v>
      </c>
      <c r="B134" s="19" t="n">
        <v>6705</v>
      </c>
      <c r="C134" s="19" t="n">
        <v>5</v>
      </c>
      <c r="D134" s="19" t="n">
        <v>6</v>
      </c>
      <c r="E134" s="19" t="n">
        <v>1</v>
      </c>
      <c r="F134" s="19" t="n">
        <v>15</v>
      </c>
      <c r="G134" s="19" t="n">
        <f aca="false">IF(ISERROR(IF(INDEX(Strength!$F$2:$F$76,MATCH(B134,Strength!$A$2:$A$76,0))=A134,INDEX(Strength!$G$2:$G$76,MATCH(B134,Strength!$A$2:$A$76,0)),INDEX(Strength!$I$2:$I$76,MATCH(B134,Strength!$A$2:$A$76,0)))),"",IF(INDEX(Strength!$F$2:$F$76,MATCH(B134,Strength!$A$2:$A$76,0))=A134,INDEX(Strength!$G$2:$G$76,MATCH(B134,Strength!$A$2:$A$76,0)),INDEX(Strength!$I$2:$I$76,MATCH(B134,Strength!$A$2:$A$76,0))))</f>
        <v>32</v>
      </c>
      <c r="H134" s="19" t="n">
        <f aca="false">IF(ISERROR(INDEX(Strength!$V$2:$V$76,MATCH(B134,Strength!$A$2:$A$76,0))),"",INDEX(Strength!$V$2:$V$76,MATCH(B134,Strength!$A$2:$A$76,0)))</f>
        <v>22</v>
      </c>
      <c r="I134" s="20" t="n">
        <f aca="false">IF(ISERROR(INDEX(Strength!$U$2:$U$76,MATCH(B134,Strength!$A$2:$A$76,0))),0,INDEX(Strength!$U$2:$U$76,MATCH(B134,Strength!$A$2:$A$76,0)))</f>
        <v>44.5077838827839</v>
      </c>
    </row>
    <row r="135" customFormat="false" ht="15" hidden="false" customHeight="false" outlineLevel="0" collapsed="false">
      <c r="A135" s="19" t="s">
        <v>108</v>
      </c>
      <c r="B135" s="19" t="n">
        <v>11174</v>
      </c>
      <c r="C135" s="19" t="n">
        <v>5</v>
      </c>
      <c r="D135" s="19" t="n">
        <v>7</v>
      </c>
      <c r="E135" s="19" t="n">
        <v>0</v>
      </c>
      <c r="F135" s="19" t="n">
        <v>16</v>
      </c>
      <c r="G135" s="19" t="n">
        <f aca="false">IF(ISERROR(IF(INDEX(Strength!$F$2:$F$76,MATCH(B135,Strength!$A$2:$A$76,0))=A135,INDEX(Strength!$G$2:$G$76,MATCH(B135,Strength!$A$2:$A$76,0)),INDEX(Strength!$I$2:$I$76,MATCH(B135,Strength!$A$2:$A$76,0)))),"",IF(INDEX(Strength!$F$2:$F$76,MATCH(B135,Strength!$A$2:$A$76,0))=A135,INDEX(Strength!$G$2:$G$76,MATCH(B135,Strength!$A$2:$A$76,0)),INDEX(Strength!$I$2:$I$76,MATCH(B135,Strength!$A$2:$A$76,0))))</f>
        <v>48</v>
      </c>
      <c r="H135" s="19" t="n">
        <f aca="false">IF(ISERROR(INDEX(Strength!$V$2:$V$76,MATCH(B135,Strength!$A$2:$A$76,0))),"",INDEX(Strength!$V$2:$V$76,MATCH(B135,Strength!$A$2:$A$76,0)))</f>
        <v>20</v>
      </c>
      <c r="I135" s="20" t="n">
        <f aca="false">IF(ISERROR(INDEX(Strength!$U$2:$U$76,MATCH(B135,Strength!$A$2:$A$76,0))),0,INDEX(Strength!$U$2:$U$76,MATCH(B135,Strength!$A$2:$A$76,0)))</f>
        <v>45.5494505494506</v>
      </c>
    </row>
    <row r="136" customFormat="false" ht="15" hidden="false" customHeight="false" outlineLevel="0" collapsed="false">
      <c r="A136" s="19" t="s">
        <v>108</v>
      </c>
      <c r="B136" s="19" t="n">
        <v>8865</v>
      </c>
      <c r="C136" s="19" t="n">
        <v>5</v>
      </c>
      <c r="D136" s="19" t="n">
        <v>6</v>
      </c>
      <c r="E136" s="19" t="n">
        <v>1</v>
      </c>
      <c r="F136" s="19" t="n">
        <v>17</v>
      </c>
      <c r="G136" s="19" t="n">
        <f aca="false">IF(ISERROR(IF(INDEX(Strength!$F$2:$F$76,MATCH(B136,Strength!$A$2:$A$76,0))=A136,INDEX(Strength!$G$2:$G$76,MATCH(B136,Strength!$A$2:$A$76,0)),INDEX(Strength!$I$2:$I$76,MATCH(B136,Strength!$A$2:$A$76,0)))),"",IF(INDEX(Strength!$F$2:$F$76,MATCH(B136,Strength!$A$2:$A$76,0))=A136,INDEX(Strength!$G$2:$G$76,MATCH(B136,Strength!$A$2:$A$76,0)),INDEX(Strength!$I$2:$I$76,MATCH(B136,Strength!$A$2:$A$76,0))))</f>
        <v>25</v>
      </c>
      <c r="H136" s="19" t="n">
        <f aca="false">IF(ISERROR(INDEX(Strength!$V$2:$V$76,MATCH(B136,Strength!$A$2:$A$76,0))),"",INDEX(Strength!$V$2:$V$76,MATCH(B136,Strength!$A$2:$A$76,0)))</f>
        <v>48</v>
      </c>
      <c r="I136" s="20" t="n">
        <f aca="false">IF(ISERROR(INDEX(Strength!$U$2:$U$76,MATCH(B136,Strength!$A$2:$A$76,0))),0,INDEX(Strength!$U$2:$U$76,MATCH(B136,Strength!$A$2:$A$76,0)))</f>
        <v>25.7211538461538</v>
      </c>
    </row>
    <row r="137" customFormat="false" ht="15" hidden="false" customHeight="false" outlineLevel="0" collapsed="false">
      <c r="A137" s="19" t="s">
        <v>108</v>
      </c>
      <c r="B137" s="19" t="n">
        <v>4468</v>
      </c>
      <c r="C137" s="19" t="n">
        <v>4</v>
      </c>
      <c r="D137" s="19" t="n">
        <v>7</v>
      </c>
      <c r="E137" s="19" t="n">
        <v>1</v>
      </c>
      <c r="F137" s="19" t="n">
        <v>18</v>
      </c>
      <c r="G137" s="19" t="n">
        <f aca="false">IF(ISERROR(IF(INDEX(Strength!$F$2:$F$76,MATCH(B137,Strength!$A$2:$A$76,0))=A137,INDEX(Strength!$G$2:$G$76,MATCH(B137,Strength!$A$2:$A$76,0)),INDEX(Strength!$I$2:$I$76,MATCH(B137,Strength!$A$2:$A$76,0)))),"",IF(INDEX(Strength!$F$2:$F$76,MATCH(B137,Strength!$A$2:$A$76,0))=A137,INDEX(Strength!$G$2:$G$76,MATCH(B137,Strength!$A$2:$A$76,0)),INDEX(Strength!$I$2:$I$76,MATCH(B137,Strength!$A$2:$A$76,0))))</f>
        <v>18</v>
      </c>
      <c r="H137" s="19" t="n">
        <f aca="false">IF(ISERROR(INDEX(Strength!$V$2:$V$76,MATCH(B137,Strength!$A$2:$A$76,0))),"",INDEX(Strength!$V$2:$V$76,MATCH(B137,Strength!$A$2:$A$76,0)))</f>
        <v>62</v>
      </c>
      <c r="I137" s="20" t="n">
        <f aca="false">IF(ISERROR(INDEX(Strength!$U$2:$U$76,MATCH(B137,Strength!$A$2:$A$76,0))),0,INDEX(Strength!$U$2:$U$76,MATCH(B137,Strength!$A$2:$A$76,0)))</f>
        <v>13.7568681318681</v>
      </c>
    </row>
    <row r="138" customFormat="false" ht="15" hidden="false" customHeight="false" outlineLevel="0" collapsed="false">
      <c r="A138" s="19" t="s">
        <v>108</v>
      </c>
      <c r="B138" s="19" t="n">
        <v>5293</v>
      </c>
      <c r="C138" s="19" t="n">
        <v>4</v>
      </c>
      <c r="D138" s="19" t="n">
        <v>5</v>
      </c>
      <c r="E138" s="19" t="n">
        <v>2</v>
      </c>
      <c r="F138" s="19" t="n">
        <v>19</v>
      </c>
      <c r="G138" s="19" t="n">
        <f aca="false">IF(ISERROR(IF(INDEX(Strength!$F$2:$F$76,MATCH(B138,Strength!$A$2:$A$76,0))=A138,INDEX(Strength!$G$2:$G$76,MATCH(B138,Strength!$A$2:$A$76,0)),INDEX(Strength!$I$2:$I$76,MATCH(B138,Strength!$A$2:$A$76,0)))),"",IF(INDEX(Strength!$F$2:$F$76,MATCH(B138,Strength!$A$2:$A$76,0))=A138,INDEX(Strength!$G$2:$G$76,MATCH(B138,Strength!$A$2:$A$76,0)),INDEX(Strength!$I$2:$I$76,MATCH(B138,Strength!$A$2:$A$76,0))))</f>
        <v>18</v>
      </c>
      <c r="H138" s="19" t="n">
        <f aca="false">IF(ISERROR(INDEX(Strength!$V$2:$V$76,MATCH(B138,Strength!$A$2:$A$76,0))),"",INDEX(Strength!$V$2:$V$76,MATCH(B138,Strength!$A$2:$A$76,0)))</f>
        <v>59</v>
      </c>
      <c r="I138" s="20" t="n">
        <f aca="false">IF(ISERROR(INDEX(Strength!$U$2:$U$76,MATCH(B138,Strength!$A$2:$A$76,0))),0,INDEX(Strength!$U$2:$U$76,MATCH(B138,Strength!$A$2:$A$76,0)))</f>
        <v>18.6000955566173</v>
      </c>
    </row>
    <row r="139" customFormat="false" ht="15" hidden="false" customHeight="false" outlineLevel="0" collapsed="false">
      <c r="A139" s="19" t="s">
        <v>108</v>
      </c>
      <c r="B139" s="19" t="n">
        <v>9561</v>
      </c>
      <c r="C139" s="19" t="n">
        <v>5</v>
      </c>
      <c r="D139" s="19" t="n">
        <v>5</v>
      </c>
      <c r="E139" s="19" t="n">
        <v>0</v>
      </c>
      <c r="F139" s="19" t="n">
        <v>20</v>
      </c>
      <c r="G139" s="19" t="n">
        <f aca="false">IF(ISERROR(IF(INDEX(Strength!$F$2:$F$76,MATCH(B139,Strength!$A$2:$A$76,0))=A139,INDEX(Strength!$G$2:$G$76,MATCH(B139,Strength!$A$2:$A$76,0)),INDEX(Strength!$I$2:$I$76,MATCH(B139,Strength!$A$2:$A$76,0)))),"",IF(INDEX(Strength!$F$2:$F$76,MATCH(B139,Strength!$A$2:$A$76,0))=A139,INDEX(Strength!$G$2:$G$76,MATCH(B139,Strength!$A$2:$A$76,0)),INDEX(Strength!$I$2:$I$76,MATCH(B139,Strength!$A$2:$A$76,0))))</f>
        <v>29</v>
      </c>
      <c r="H139" s="19" t="n">
        <f aca="false">IF(ISERROR(INDEX(Strength!$V$2:$V$76,MATCH(B139,Strength!$A$2:$A$76,0))),"",INDEX(Strength!$V$2:$V$76,MATCH(B139,Strength!$A$2:$A$76,0)))</f>
        <v>38</v>
      </c>
      <c r="I139" s="20" t="n">
        <f aca="false">IF(ISERROR(INDEX(Strength!$U$2:$U$76,MATCH(B139,Strength!$A$2:$A$76,0))),0,INDEX(Strength!$U$2:$U$76,MATCH(B139,Strength!$A$2:$A$76,0)))</f>
        <v>33.3166833166833</v>
      </c>
    </row>
    <row r="140" customFormat="false" ht="15" hidden="false" customHeight="false" outlineLevel="0" collapsed="false">
      <c r="A140" s="19" t="s">
        <v>108</v>
      </c>
      <c r="B140" s="19" t="n">
        <v>3318</v>
      </c>
      <c r="C140" s="19" t="n">
        <v>4</v>
      </c>
      <c r="D140" s="19" t="n">
        <v>7</v>
      </c>
      <c r="E140" s="19" t="n">
        <v>1</v>
      </c>
      <c r="F140" s="19" t="n">
        <v>21</v>
      </c>
      <c r="G140" s="19" t="n">
        <f aca="false">IF(ISERROR(IF(INDEX(Strength!$F$2:$F$76,MATCH(B140,Strength!$A$2:$A$76,0))=A140,INDEX(Strength!$G$2:$G$76,MATCH(B140,Strength!$A$2:$A$76,0)),INDEX(Strength!$I$2:$I$76,MATCH(B140,Strength!$A$2:$A$76,0)))),"",IF(INDEX(Strength!$F$2:$F$76,MATCH(B140,Strength!$A$2:$A$76,0))=A140,INDEX(Strength!$G$2:$G$76,MATCH(B140,Strength!$A$2:$A$76,0)),INDEX(Strength!$I$2:$I$76,MATCH(B140,Strength!$A$2:$A$76,0))))</f>
        <v>24</v>
      </c>
      <c r="H140" s="19" t="n">
        <f aca="false">IF(ISERROR(INDEX(Strength!$V$2:$V$76,MATCH(B140,Strength!$A$2:$A$76,0))),"",INDEX(Strength!$V$2:$V$76,MATCH(B140,Strength!$A$2:$A$76,0)))</f>
        <v>58</v>
      </c>
      <c r="I140" s="20" t="n">
        <f aca="false">IF(ISERROR(INDEX(Strength!$U$2:$U$76,MATCH(B140,Strength!$A$2:$A$76,0))),0,INDEX(Strength!$U$2:$U$76,MATCH(B140,Strength!$A$2:$A$76,0)))</f>
        <v>19.9107142857143</v>
      </c>
    </row>
    <row r="141" customFormat="false" ht="15" hidden="false" customHeight="false" outlineLevel="0" collapsed="false">
      <c r="A141" s="19" t="s">
        <v>108</v>
      </c>
      <c r="B141" s="19" t="n">
        <v>5074</v>
      </c>
      <c r="C141" s="19" t="n">
        <v>4</v>
      </c>
      <c r="D141" s="19" t="n">
        <v>6</v>
      </c>
      <c r="E141" s="19" t="n">
        <v>2</v>
      </c>
      <c r="F141" s="19" t="n">
        <v>22</v>
      </c>
      <c r="G141" s="19" t="n">
        <f aca="false">IF(ISERROR(IF(INDEX(Strength!$F$2:$F$76,MATCH(B141,Strength!$A$2:$A$76,0))=A141,INDEX(Strength!$G$2:$G$76,MATCH(B141,Strength!$A$2:$A$76,0)),INDEX(Strength!$I$2:$I$76,MATCH(B141,Strength!$A$2:$A$76,0)))),"",IF(INDEX(Strength!$F$2:$F$76,MATCH(B141,Strength!$A$2:$A$76,0))=A141,INDEX(Strength!$G$2:$G$76,MATCH(B141,Strength!$A$2:$A$76,0)),INDEX(Strength!$I$2:$I$76,MATCH(B141,Strength!$A$2:$A$76,0))))</f>
        <v>22</v>
      </c>
      <c r="H141" s="19" t="n">
        <f aca="false">IF(ISERROR(INDEX(Strength!$V$2:$V$76,MATCH(B141,Strength!$A$2:$A$76,0))),"",INDEX(Strength!$V$2:$V$76,MATCH(B141,Strength!$A$2:$A$76,0)))</f>
        <v>57</v>
      </c>
      <c r="I141" s="20" t="n">
        <f aca="false">IF(ISERROR(INDEX(Strength!$U$2:$U$76,MATCH(B141,Strength!$A$2:$A$76,0))),0,INDEX(Strength!$U$2:$U$76,MATCH(B141,Strength!$A$2:$A$76,0)))</f>
        <v>19.9587912087912</v>
      </c>
    </row>
    <row r="142" customFormat="false" ht="15" hidden="false" customHeight="false" outlineLevel="0" collapsed="false">
      <c r="A142" s="19" t="s">
        <v>108</v>
      </c>
      <c r="B142" s="19" t="n">
        <v>10482</v>
      </c>
      <c r="C142" s="19" t="n">
        <v>4</v>
      </c>
      <c r="D142" s="19" t="n">
        <v>6</v>
      </c>
      <c r="E142" s="19" t="n">
        <v>1</v>
      </c>
      <c r="F142" s="19" t="n">
        <v>23</v>
      </c>
      <c r="G142" s="19" t="n">
        <f aca="false">IF(ISERROR(IF(INDEX(Strength!$F$2:$F$76,MATCH(B142,Strength!$A$2:$A$76,0))=A142,INDEX(Strength!$G$2:$G$76,MATCH(B142,Strength!$A$2:$A$76,0)),INDEX(Strength!$I$2:$I$76,MATCH(B142,Strength!$A$2:$A$76,0)))),"",IF(INDEX(Strength!$F$2:$F$76,MATCH(B142,Strength!$A$2:$A$76,0))=A142,INDEX(Strength!$G$2:$G$76,MATCH(B142,Strength!$A$2:$A$76,0)),INDEX(Strength!$I$2:$I$76,MATCH(B142,Strength!$A$2:$A$76,0))))</f>
        <v>9</v>
      </c>
      <c r="H142" s="19" t="n">
        <f aca="false">IF(ISERROR(INDEX(Strength!$V$2:$V$76,MATCH(B142,Strength!$A$2:$A$76,0))),"",INDEX(Strength!$V$2:$V$76,MATCH(B142,Strength!$A$2:$A$76,0)))</f>
        <v>31</v>
      </c>
      <c r="I142" s="20" t="n">
        <f aca="false">IF(ISERROR(INDEX(Strength!$U$2:$U$76,MATCH(B142,Strength!$A$2:$A$76,0))),0,INDEX(Strength!$U$2:$U$76,MATCH(B142,Strength!$A$2:$A$76,0)))</f>
        <v>35.831342570473</v>
      </c>
    </row>
    <row r="143" customFormat="false" ht="15" hidden="false" customHeight="false" outlineLevel="0" collapsed="false">
      <c r="A143" s="19" t="s">
        <v>108</v>
      </c>
      <c r="B143" s="19" t="n">
        <v>9057</v>
      </c>
      <c r="C143" s="19" t="n">
        <v>3</v>
      </c>
      <c r="D143" s="19" t="n">
        <v>8</v>
      </c>
      <c r="E143" s="19" t="n">
        <v>1</v>
      </c>
      <c r="F143" s="19" t="n">
        <v>24</v>
      </c>
      <c r="G143" s="19" t="n">
        <f aca="false">IF(ISERROR(IF(INDEX(Strength!$F$2:$F$76,MATCH(B143,Strength!$A$2:$A$76,0))=A143,INDEX(Strength!$G$2:$G$76,MATCH(B143,Strength!$A$2:$A$76,0)),INDEX(Strength!$I$2:$I$76,MATCH(B143,Strength!$A$2:$A$76,0)))),"",IF(INDEX(Strength!$F$2:$F$76,MATCH(B143,Strength!$A$2:$A$76,0))=A143,INDEX(Strength!$G$2:$G$76,MATCH(B143,Strength!$A$2:$A$76,0)),INDEX(Strength!$I$2:$I$76,MATCH(B143,Strength!$A$2:$A$76,0))))</f>
        <v>14</v>
      </c>
      <c r="H143" s="19" t="n">
        <f aca="false">IF(ISERROR(INDEX(Strength!$V$2:$V$76,MATCH(B143,Strength!$A$2:$A$76,0))),"",INDEX(Strength!$V$2:$V$76,MATCH(B143,Strength!$A$2:$A$76,0)))</f>
        <v>64</v>
      </c>
      <c r="I143" s="20" t="n">
        <f aca="false">IF(ISERROR(INDEX(Strength!$U$2:$U$76,MATCH(B143,Strength!$A$2:$A$76,0))),0,INDEX(Strength!$U$2:$U$76,MATCH(B143,Strength!$A$2:$A$76,0)))</f>
        <v>11.6735347985348</v>
      </c>
    </row>
    <row r="144" customFormat="false" ht="15" hidden="false" customHeight="false" outlineLevel="0" collapsed="false">
      <c r="A144" s="19" t="s">
        <v>108</v>
      </c>
      <c r="B144" s="19" t="n">
        <v>5651</v>
      </c>
      <c r="C144" s="19" t="n">
        <v>4</v>
      </c>
      <c r="D144" s="19" t="n">
        <v>8</v>
      </c>
      <c r="E144" s="19" t="n">
        <v>0</v>
      </c>
      <c r="F144" s="19" t="n">
        <v>25</v>
      </c>
      <c r="G144" s="19" t="n">
        <f aca="false">IF(ISERROR(IF(INDEX(Strength!$F$2:$F$76,MATCH(B144,Strength!$A$2:$A$76,0))=A144,INDEX(Strength!$G$2:$G$76,MATCH(B144,Strength!$A$2:$A$76,0)),INDEX(Strength!$I$2:$I$76,MATCH(B144,Strength!$A$2:$A$76,0)))),"",IF(INDEX(Strength!$F$2:$F$76,MATCH(B144,Strength!$A$2:$A$76,0))=A144,INDEX(Strength!$G$2:$G$76,MATCH(B144,Strength!$A$2:$A$76,0)),INDEX(Strength!$I$2:$I$76,MATCH(B144,Strength!$A$2:$A$76,0))))</f>
        <v>13</v>
      </c>
      <c r="H144" s="19" t="n">
        <f aca="false">IF(ISERROR(INDEX(Strength!$V$2:$V$76,MATCH(B144,Strength!$A$2:$A$76,0))),"",INDEX(Strength!$V$2:$V$76,MATCH(B144,Strength!$A$2:$A$76,0)))</f>
        <v>50</v>
      </c>
      <c r="I144" s="20" t="n">
        <f aca="false">IF(ISERROR(INDEX(Strength!$U$2:$U$76,MATCH(B144,Strength!$A$2:$A$76,0))),0,INDEX(Strength!$U$2:$U$76,MATCH(B144,Strength!$A$2:$A$76,0)))</f>
        <v>23.246336996337</v>
      </c>
    </row>
    <row r="145" customFormat="false" ht="15" hidden="false" customHeight="false" outlineLevel="0" collapsed="false">
      <c r="A145" s="19" t="s">
        <v>108</v>
      </c>
      <c r="B145" s="19" t="n">
        <v>7538</v>
      </c>
      <c r="C145" s="19" t="n">
        <v>4</v>
      </c>
      <c r="D145" s="19" t="n">
        <v>7</v>
      </c>
      <c r="E145" s="19" t="n">
        <v>1</v>
      </c>
      <c r="F145" s="19" t="n">
        <v>26</v>
      </c>
      <c r="G145" s="19" t="n">
        <f aca="false">IF(ISERROR(IF(INDEX(Strength!$F$2:$F$76,MATCH(B145,Strength!$A$2:$A$76,0))=A145,INDEX(Strength!$G$2:$G$76,MATCH(B145,Strength!$A$2:$A$76,0)),INDEX(Strength!$I$2:$I$76,MATCH(B145,Strength!$A$2:$A$76,0)))),"",IF(INDEX(Strength!$F$2:$F$76,MATCH(B145,Strength!$A$2:$A$76,0))=A145,INDEX(Strength!$G$2:$G$76,MATCH(B145,Strength!$A$2:$A$76,0)),INDEX(Strength!$I$2:$I$76,MATCH(B145,Strength!$A$2:$A$76,0))))</f>
        <v>12</v>
      </c>
      <c r="H145" s="19" t="n">
        <f aca="false">IF(ISERROR(INDEX(Strength!$V$2:$V$76,MATCH(B145,Strength!$A$2:$A$76,0))),"",INDEX(Strength!$V$2:$V$76,MATCH(B145,Strength!$A$2:$A$76,0)))</f>
        <v>65</v>
      </c>
      <c r="I145" s="20" t="n">
        <f aca="false">IF(ISERROR(INDEX(Strength!$U$2:$U$76,MATCH(B145,Strength!$A$2:$A$76,0))),0,INDEX(Strength!$U$2:$U$76,MATCH(B145,Strength!$A$2:$A$76,0)))</f>
        <v>11.1195054945055</v>
      </c>
    </row>
    <row r="146" customFormat="false" ht="15" hidden="false" customHeight="false" outlineLevel="0" collapsed="false">
      <c r="A146" s="19" t="s">
        <v>108</v>
      </c>
      <c r="B146" s="19" t="n">
        <v>8100</v>
      </c>
      <c r="C146" s="19" t="n">
        <v>4</v>
      </c>
      <c r="D146" s="19" t="n">
        <v>8</v>
      </c>
      <c r="E146" s="19" t="n">
        <v>0</v>
      </c>
      <c r="F146" s="19" t="n">
        <v>27</v>
      </c>
      <c r="G146" s="19" t="n">
        <f aca="false">IF(ISERROR(IF(INDEX(Strength!$F$2:$F$76,MATCH(B146,Strength!$A$2:$A$76,0))=A146,INDEX(Strength!$G$2:$G$76,MATCH(B146,Strength!$A$2:$A$76,0)),INDEX(Strength!$I$2:$I$76,MATCH(B146,Strength!$A$2:$A$76,0)))),"",IF(INDEX(Strength!$F$2:$F$76,MATCH(B146,Strength!$A$2:$A$76,0))=A146,INDEX(Strength!$G$2:$G$76,MATCH(B146,Strength!$A$2:$A$76,0)),INDEX(Strength!$I$2:$I$76,MATCH(B146,Strength!$A$2:$A$76,0))))</f>
        <v>22</v>
      </c>
      <c r="H146" s="19" t="n">
        <f aca="false">IF(ISERROR(INDEX(Strength!$V$2:$V$76,MATCH(B146,Strength!$A$2:$A$76,0))),"",INDEX(Strength!$V$2:$V$76,MATCH(B146,Strength!$A$2:$A$76,0)))</f>
        <v>61</v>
      </c>
      <c r="I146" s="20" t="n">
        <f aca="false">IF(ISERROR(INDEX(Strength!$U$2:$U$76,MATCH(B146,Strength!$A$2:$A$76,0))),0,INDEX(Strength!$U$2:$U$76,MATCH(B146,Strength!$A$2:$A$76,0)))</f>
        <v>17.4358974358974</v>
      </c>
    </row>
    <row r="147" customFormat="false" ht="15" hidden="false" customHeight="false" outlineLevel="0" collapsed="false">
      <c r="A147" s="19" t="s">
        <v>108</v>
      </c>
      <c r="B147" s="19" t="n">
        <v>4701</v>
      </c>
      <c r="C147" s="19" t="n">
        <v>4</v>
      </c>
      <c r="D147" s="19" t="n">
        <v>8</v>
      </c>
      <c r="E147" s="19" t="n">
        <v>0</v>
      </c>
      <c r="F147" s="19" t="n">
        <v>28</v>
      </c>
      <c r="G147" s="19" t="n">
        <f aca="false">IF(ISERROR(IF(INDEX(Strength!$F$2:$F$76,MATCH(B147,Strength!$A$2:$A$76,0))=A147,INDEX(Strength!$G$2:$G$76,MATCH(B147,Strength!$A$2:$A$76,0)),INDEX(Strength!$I$2:$I$76,MATCH(B147,Strength!$A$2:$A$76,0)))),"",IF(INDEX(Strength!$F$2:$F$76,MATCH(B147,Strength!$A$2:$A$76,0))=A147,INDEX(Strength!$G$2:$G$76,MATCH(B147,Strength!$A$2:$A$76,0)),INDEX(Strength!$I$2:$I$76,MATCH(B147,Strength!$A$2:$A$76,0))))</f>
        <v>11</v>
      </c>
      <c r="H147" s="19" t="n">
        <f aca="false">IF(ISERROR(INDEX(Strength!$V$2:$V$76,MATCH(B147,Strength!$A$2:$A$76,0))),"",INDEX(Strength!$V$2:$V$76,MATCH(B147,Strength!$A$2:$A$76,0)))</f>
        <v>51</v>
      </c>
      <c r="I147" s="20" t="n">
        <f aca="false">IF(ISERROR(INDEX(Strength!$U$2:$U$76,MATCH(B147,Strength!$A$2:$A$76,0))),0,INDEX(Strength!$U$2:$U$76,MATCH(B147,Strength!$A$2:$A$76,0)))</f>
        <v>22.481684981685</v>
      </c>
    </row>
    <row r="148" customFormat="false" ht="15" hidden="false" customHeight="false" outlineLevel="0" collapsed="false">
      <c r="A148" s="19" t="s">
        <v>108</v>
      </c>
      <c r="B148" s="19" t="n">
        <v>2415</v>
      </c>
      <c r="C148" s="19" t="n">
        <v>2</v>
      </c>
      <c r="D148" s="19" t="n">
        <v>5</v>
      </c>
      <c r="E148" s="19" t="n">
        <v>1</v>
      </c>
      <c r="F148" s="19" t="n">
        <v>29</v>
      </c>
      <c r="G148" s="19" t="n">
        <f aca="false">IF(ISERROR(IF(INDEX(Strength!$F$2:$F$76,MATCH(B148,Strength!$A$2:$A$76,0))=A148,INDEX(Strength!$G$2:$G$76,MATCH(B148,Strength!$A$2:$A$76,0)),INDEX(Strength!$I$2:$I$76,MATCH(B148,Strength!$A$2:$A$76,0)))),"",IF(INDEX(Strength!$F$2:$F$76,MATCH(B148,Strength!$A$2:$A$76,0))=A148,INDEX(Strength!$G$2:$G$76,MATCH(B148,Strength!$A$2:$A$76,0)),INDEX(Strength!$I$2:$I$76,MATCH(B148,Strength!$A$2:$A$76,0))))</f>
        <v>5</v>
      </c>
      <c r="H148" s="19" t="n">
        <f aca="false">IF(ISERROR(INDEX(Strength!$V$2:$V$76,MATCH(B148,Strength!$A$2:$A$76,0))),"",INDEX(Strength!$V$2:$V$76,MATCH(B148,Strength!$A$2:$A$76,0)))</f>
        <v>71</v>
      </c>
      <c r="I148" s="20" t="n">
        <f aca="false">IF(ISERROR(INDEX(Strength!$U$2:$U$76,MATCH(B148,Strength!$A$2:$A$76,0))),0,INDEX(Strength!$U$2:$U$76,MATCH(B148,Strength!$A$2:$A$76,0)))</f>
        <v>6.90934065934066</v>
      </c>
    </row>
    <row r="149" customFormat="false" ht="15" hidden="false" customHeight="false" outlineLevel="0" collapsed="false">
      <c r="A149" s="19" t="s">
        <v>108</v>
      </c>
      <c r="B149" s="19" t="n">
        <v>1795</v>
      </c>
      <c r="C149" s="19" t="n">
        <v>0</v>
      </c>
      <c r="D149" s="19" t="n">
        <v>3</v>
      </c>
      <c r="E149" s="19" t="n">
        <v>0</v>
      </c>
      <c r="F149" s="19" t="n">
        <v>30</v>
      </c>
      <c r="G149" s="19" t="n">
        <f aca="false">IF(ISERROR(IF(INDEX(Strength!$F$2:$F$76,MATCH(B149,Strength!$A$2:$A$76,0))=A149,INDEX(Strength!$G$2:$G$76,MATCH(B149,Strength!$A$2:$A$76,0)),INDEX(Strength!$I$2:$I$76,MATCH(B149,Strength!$A$2:$A$76,0)))),"",IF(INDEX(Strength!$F$2:$F$76,MATCH(B149,Strength!$A$2:$A$76,0))=A149,INDEX(Strength!$G$2:$G$76,MATCH(B149,Strength!$A$2:$A$76,0)),INDEX(Strength!$I$2:$I$76,MATCH(B149,Strength!$A$2:$A$76,0))))</f>
        <v>4</v>
      </c>
      <c r="H149" s="19" t="n">
        <f aca="false">IF(ISERROR(INDEX(Strength!$V$2:$V$76,MATCH(B149,Strength!$A$2:$A$76,0))),"",INDEX(Strength!$V$2:$V$76,MATCH(B149,Strength!$A$2:$A$76,0)))</f>
        <v>74</v>
      </c>
      <c r="I149" s="20" t="n">
        <f aca="false">IF(ISERROR(INDEX(Strength!$U$2:$U$76,MATCH(B149,Strength!$A$2:$A$76,0))),0,INDEX(Strength!$U$2:$U$76,MATCH(B149,Strength!$A$2:$A$76,0)))</f>
        <v>0</v>
      </c>
    </row>
    <row r="151" customFormat="false" ht="15" hidden="false" customHeight="false" outlineLevel="0" collapsed="false">
      <c r="A151" s="5" t="s">
        <v>416</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E42"/>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3" min="1" style="0" width="30"/>
    <col collapsed="false" customWidth="true" hidden="false" outlineLevel="0" max="4" min="4" style="0" width="14"/>
    <col collapsed="false" customWidth="true" hidden="false" outlineLevel="0" max="5" min="5" style="0" width="26"/>
  </cols>
  <sheetData>
    <row r="1" customFormat="false" ht="17.35" hidden="false" customHeight="false" outlineLevel="0" collapsed="false">
      <c r="A1" s="4" t="s">
        <v>417</v>
      </c>
    </row>
    <row r="3" customFormat="false" ht="26.85" hidden="false" customHeight="false" outlineLevel="0" collapsed="false">
      <c r="A3" s="7" t="s">
        <v>185</v>
      </c>
      <c r="B3" s="7" t="s">
        <v>418</v>
      </c>
      <c r="C3" s="7" t="s">
        <v>419</v>
      </c>
      <c r="D3" s="7" t="s">
        <v>420</v>
      </c>
      <c r="E3" s="7" t="s">
        <v>66</v>
      </c>
    </row>
    <row r="4" customFormat="false" ht="15" hidden="false" customHeight="false" outlineLevel="0" collapsed="false">
      <c r="A4" s="19" t="n">
        <v>6919</v>
      </c>
      <c r="B4" s="19" t="s">
        <v>136</v>
      </c>
      <c r="C4" s="19" t="s">
        <v>136</v>
      </c>
      <c r="D4" s="19" t="n">
        <v>2</v>
      </c>
      <c r="E4" s="19"/>
    </row>
    <row r="5" customFormat="false" ht="15" hidden="false" customHeight="false" outlineLevel="0" collapsed="false">
      <c r="A5" s="19" t="n">
        <v>2974</v>
      </c>
      <c r="B5" s="19" t="s">
        <v>421</v>
      </c>
      <c r="C5" s="19" t="s">
        <v>421</v>
      </c>
      <c r="D5" s="19" t="n">
        <v>2</v>
      </c>
      <c r="E5" s="19"/>
    </row>
    <row r="6" customFormat="false" ht="15" hidden="false" customHeight="false" outlineLevel="0" collapsed="false">
      <c r="A6" s="19" t="n">
        <v>1771</v>
      </c>
      <c r="B6" s="19" t="s">
        <v>422</v>
      </c>
      <c r="C6" s="19" t="s">
        <v>422</v>
      </c>
      <c r="D6" s="19" t="n">
        <v>2</v>
      </c>
      <c r="E6" s="19"/>
    </row>
    <row r="7" customFormat="false" ht="15" hidden="false" customHeight="false" outlineLevel="0" collapsed="false">
      <c r="A7" s="19" t="n">
        <v>8866</v>
      </c>
      <c r="B7" s="19" t="s">
        <v>423</v>
      </c>
      <c r="C7" s="19" t="s">
        <v>136</v>
      </c>
      <c r="D7" s="19" t="n">
        <v>0</v>
      </c>
      <c r="E7" s="19"/>
    </row>
    <row r="8" customFormat="false" ht="15" hidden="false" customHeight="false" outlineLevel="0" collapsed="false">
      <c r="A8" s="19" t="n">
        <v>1833</v>
      </c>
      <c r="B8" s="19" t="s">
        <v>423</v>
      </c>
      <c r="C8" s="19" t="s">
        <v>423</v>
      </c>
      <c r="D8" s="19" t="n">
        <v>2</v>
      </c>
      <c r="E8" s="19"/>
    </row>
    <row r="9" customFormat="false" ht="15" hidden="false" customHeight="false" outlineLevel="0" collapsed="false">
      <c r="A9" s="19" t="n">
        <v>1683</v>
      </c>
      <c r="B9" s="19" t="s">
        <v>423</v>
      </c>
      <c r="C9" s="19" t="s">
        <v>423</v>
      </c>
      <c r="D9" s="19" t="n">
        <v>2</v>
      </c>
      <c r="E9" s="19"/>
    </row>
    <row r="10" customFormat="false" ht="15" hidden="false" customHeight="false" outlineLevel="0" collapsed="false">
      <c r="A10" s="19" t="n">
        <v>1648</v>
      </c>
      <c r="B10" s="19" t="s">
        <v>421</v>
      </c>
      <c r="C10" s="19" t="s">
        <v>422</v>
      </c>
      <c r="D10" s="19" t="n">
        <v>0</v>
      </c>
      <c r="E10" s="19"/>
    </row>
    <row r="11" customFormat="false" ht="15" hidden="false" customHeight="false" outlineLevel="0" collapsed="false">
      <c r="A11" s="19" t="n">
        <v>6340</v>
      </c>
      <c r="B11" s="19" t="s">
        <v>421</v>
      </c>
      <c r="C11" s="19" t="s">
        <v>423</v>
      </c>
      <c r="D11" s="19" t="n">
        <v>0</v>
      </c>
      <c r="E11" s="19"/>
    </row>
    <row r="12" customFormat="false" ht="15" hidden="false" customHeight="false" outlineLevel="0" collapsed="false">
      <c r="A12" s="19" t="n">
        <v>1261</v>
      </c>
      <c r="B12" s="19" t="s">
        <v>422</v>
      </c>
      <c r="C12" s="19" t="s">
        <v>422</v>
      </c>
      <c r="D12" s="19" t="n">
        <v>2</v>
      </c>
      <c r="E12" s="19"/>
    </row>
    <row r="13" customFormat="false" ht="15" hidden="false" customHeight="false" outlineLevel="0" collapsed="false">
      <c r="A13" s="19" t="n">
        <v>6829</v>
      </c>
      <c r="B13" s="19" t="s">
        <v>422</v>
      </c>
      <c r="C13" s="19" t="s">
        <v>421</v>
      </c>
      <c r="D13" s="19" t="n">
        <v>0</v>
      </c>
      <c r="E13" s="19"/>
    </row>
    <row r="14" customFormat="false" ht="15" hidden="false" customHeight="false" outlineLevel="0" collapsed="false">
      <c r="A14" s="19" t="n">
        <v>6023</v>
      </c>
      <c r="B14" s="19" t="s">
        <v>136</v>
      </c>
      <c r="C14" s="19" t="s">
        <v>136</v>
      </c>
      <c r="D14" s="19" t="n">
        <v>2</v>
      </c>
      <c r="E14" s="19"/>
    </row>
    <row r="15" customFormat="false" ht="15" hidden="false" customHeight="false" outlineLevel="0" collapsed="false">
      <c r="A15" s="19" t="n">
        <v>3318</v>
      </c>
      <c r="B15" s="19" t="s">
        <v>423</v>
      </c>
      <c r="C15" s="19" t="s">
        <v>423</v>
      </c>
      <c r="D15" s="19" t="n">
        <v>2</v>
      </c>
      <c r="E15" s="19"/>
    </row>
    <row r="16" customFormat="false" ht="15" hidden="false" customHeight="false" outlineLevel="0" collapsed="false">
      <c r="A16" s="19" t="n">
        <v>7538</v>
      </c>
      <c r="B16" s="19" t="s">
        <v>423</v>
      </c>
      <c r="C16" s="19" t="s">
        <v>422</v>
      </c>
      <c r="D16" s="19" t="n">
        <v>1</v>
      </c>
      <c r="E16" s="19"/>
    </row>
    <row r="17" customFormat="false" ht="15" hidden="false" customHeight="false" outlineLevel="0" collapsed="false">
      <c r="A17" s="19" t="n">
        <v>4026</v>
      </c>
      <c r="B17" s="19" t="s">
        <v>421</v>
      </c>
      <c r="C17" s="19" t="s">
        <v>421</v>
      </c>
      <c r="D17" s="19" t="n">
        <v>2</v>
      </c>
      <c r="E17" s="19"/>
    </row>
    <row r="18" customFormat="false" ht="15" hidden="false" customHeight="false" outlineLevel="0" collapsed="false">
      <c r="A18" s="19" t="n">
        <v>1002</v>
      </c>
      <c r="B18" s="19" t="s">
        <v>136</v>
      </c>
      <c r="C18" s="19" t="s">
        <v>136</v>
      </c>
      <c r="D18" s="19" t="n">
        <v>2</v>
      </c>
      <c r="E18" s="19"/>
    </row>
    <row r="19" customFormat="false" ht="15" hidden="false" customHeight="false" outlineLevel="0" collapsed="false">
      <c r="A19" s="19" t="n">
        <v>9260</v>
      </c>
      <c r="B19" s="19" t="s">
        <v>240</v>
      </c>
      <c r="C19" s="19" t="s">
        <v>424</v>
      </c>
      <c r="D19" s="19" t="n">
        <v>0</v>
      </c>
      <c r="E19" s="19" t="s">
        <v>425</v>
      </c>
    </row>
    <row r="20" customFormat="false" ht="15" hidden="false" customHeight="false" outlineLevel="0" collapsed="false">
      <c r="A20" s="19" t="n">
        <v>10376</v>
      </c>
      <c r="B20" s="19" t="s">
        <v>421</v>
      </c>
      <c r="C20" s="19" t="s">
        <v>421</v>
      </c>
      <c r="D20" s="19" t="n">
        <v>2</v>
      </c>
      <c r="E20" s="19"/>
    </row>
    <row r="21" customFormat="false" ht="15" hidden="false" customHeight="false" outlineLevel="0" collapsed="false">
      <c r="A21" s="19" t="n">
        <v>7451</v>
      </c>
      <c r="B21" s="19" t="s">
        <v>423</v>
      </c>
      <c r="C21" s="19" t="s">
        <v>421</v>
      </c>
      <c r="D21" s="19" t="n">
        <v>0</v>
      </c>
      <c r="E21" s="19"/>
    </row>
    <row r="22" customFormat="false" ht="15" hidden="false" customHeight="false" outlineLevel="0" collapsed="false">
      <c r="A22" s="19" t="n">
        <v>5109</v>
      </c>
      <c r="B22" s="19" t="s">
        <v>423</v>
      </c>
      <c r="C22" s="19" t="s">
        <v>422</v>
      </c>
      <c r="D22" s="19" t="n">
        <v>1</v>
      </c>
      <c r="E22" s="19"/>
    </row>
    <row r="23" customFormat="false" ht="15" hidden="false" customHeight="false" outlineLevel="0" collapsed="false">
      <c r="A23" s="19" t="n">
        <v>4112</v>
      </c>
      <c r="B23" s="19" t="s">
        <v>136</v>
      </c>
      <c r="C23" s="19" t="s">
        <v>421</v>
      </c>
      <c r="D23" s="19" t="n">
        <v>1</v>
      </c>
      <c r="E23" s="19"/>
    </row>
    <row r="24" customFormat="false" ht="15" hidden="false" customHeight="false" outlineLevel="0" collapsed="false">
      <c r="A24" s="19" t="n">
        <v>9480</v>
      </c>
      <c r="B24" s="19" t="s">
        <v>240</v>
      </c>
      <c r="C24" s="19" t="s">
        <v>421</v>
      </c>
      <c r="D24" s="19" t="n">
        <v>1</v>
      </c>
      <c r="E24" s="19"/>
    </row>
    <row r="25" customFormat="false" ht="15" hidden="false" customHeight="false" outlineLevel="0" collapsed="false">
      <c r="A25" s="19" t="n">
        <v>5293</v>
      </c>
      <c r="B25" s="19" t="s">
        <v>422</v>
      </c>
      <c r="C25" s="19" t="s">
        <v>423</v>
      </c>
      <c r="D25" s="19" t="n">
        <v>1</v>
      </c>
      <c r="E25" s="19"/>
    </row>
    <row r="26" customFormat="false" ht="15" hidden="false" customHeight="false" outlineLevel="0" collapsed="false">
      <c r="A26" s="19" t="n">
        <v>9477</v>
      </c>
      <c r="B26" s="19" t="s">
        <v>423</v>
      </c>
      <c r="C26" s="19" t="s">
        <v>136</v>
      </c>
      <c r="D26" s="19" t="n">
        <v>0</v>
      </c>
      <c r="E26" s="19"/>
    </row>
    <row r="27" customFormat="false" ht="15" hidden="false" customHeight="false" outlineLevel="0" collapsed="false">
      <c r="A27" s="19" t="n">
        <v>10482</v>
      </c>
      <c r="B27" s="19" t="s">
        <v>422</v>
      </c>
      <c r="C27" s="19" t="s">
        <v>423</v>
      </c>
      <c r="D27" s="19" t="n">
        <v>1</v>
      </c>
      <c r="E27" s="19"/>
    </row>
    <row r="28" customFormat="false" ht="15" hidden="false" customHeight="false" outlineLevel="0" collapsed="false">
      <c r="A28" s="19" t="n">
        <v>6944</v>
      </c>
      <c r="B28" s="19" t="s">
        <v>421</v>
      </c>
      <c r="C28" s="19" t="s">
        <v>424</v>
      </c>
      <c r="D28" s="19" t="n">
        <v>0</v>
      </c>
      <c r="E28" s="19" t="s">
        <v>425</v>
      </c>
    </row>
    <row r="29" customFormat="false" ht="15" hidden="false" customHeight="false" outlineLevel="0" collapsed="false">
      <c r="A29" s="19" t="n">
        <v>8736</v>
      </c>
      <c r="B29" s="19" t="s">
        <v>426</v>
      </c>
      <c r="C29" s="19" t="s">
        <v>136</v>
      </c>
      <c r="D29" s="19" t="n">
        <v>0</v>
      </c>
      <c r="E29" s="19"/>
    </row>
    <row r="30" customFormat="false" ht="15" hidden="false" customHeight="false" outlineLevel="0" collapsed="false">
      <c r="A30" s="19" t="n">
        <v>3329</v>
      </c>
      <c r="B30" s="19" t="s">
        <v>136</v>
      </c>
      <c r="C30" s="19" t="s">
        <v>421</v>
      </c>
      <c r="D30" s="19" t="n">
        <v>1</v>
      </c>
      <c r="E30" s="19"/>
    </row>
    <row r="32" customFormat="false" ht="15" hidden="false" customHeight="false" outlineLevel="0" collapsed="false">
      <c r="A32" s="6" t="s">
        <v>427</v>
      </c>
      <c r="B32" s="19" t="str">
        <f aca="false">SUM(D4:D30)&amp;" of "&amp;2*COUNT(A4:A30)</f>
        <v>29 of 54</v>
      </c>
    </row>
    <row r="33" customFormat="false" ht="15" hidden="false" customHeight="false" outlineLevel="0" collapsed="false">
      <c r="A33" s="6" t="s">
        <v>428</v>
      </c>
      <c r="B33" s="23" t="n">
        <f aca="false">SUM(D4:D30)/(2*COUNT(A4:A30))</f>
        <v>0.537037037037037</v>
      </c>
    </row>
    <row r="34" customFormat="false" ht="15" hidden="false" customHeight="false" outlineLevel="0" collapsed="false">
      <c r="A34" s="6" t="s">
        <v>429</v>
      </c>
      <c r="B34" s="19" t="str">
        <f aca="false">COUNTIF(D4:D30,2)&amp;" of "&amp;COUNT(A4:A30)</f>
        <v>11 of 27</v>
      </c>
    </row>
    <row r="36" customFormat="false" ht="15" hidden="false" customHeight="false" outlineLevel="0" collapsed="false">
      <c r="A36" s="6" t="s">
        <v>430</v>
      </c>
    </row>
    <row r="37" customFormat="false" ht="15" hidden="false" customHeight="false" outlineLevel="0" collapsed="false">
      <c r="A37" s="19" t="s">
        <v>431</v>
      </c>
      <c r="B37" s="19" t="s">
        <v>432</v>
      </c>
    </row>
    <row r="38" customFormat="false" ht="15" hidden="false" customHeight="false" outlineLevel="0" collapsed="false">
      <c r="A38" s="19" t="s">
        <v>433</v>
      </c>
      <c r="B38" s="19" t="s">
        <v>434</v>
      </c>
    </row>
    <row r="39" customFormat="false" ht="15" hidden="false" customHeight="false" outlineLevel="0" collapsed="false">
      <c r="A39" s="19" t="s">
        <v>435</v>
      </c>
      <c r="B39" s="19" t="s">
        <v>436</v>
      </c>
    </row>
    <row r="40" customFormat="false" ht="15" hidden="false" customHeight="false" outlineLevel="0" collapsed="false">
      <c r="A40" s="19" t="s">
        <v>437</v>
      </c>
      <c r="B40" s="19" t="s">
        <v>438</v>
      </c>
    </row>
    <row r="42" customFormat="false" ht="15" hidden="false" customHeight="false" outlineLevel="0" collapsed="false">
      <c r="A42" s="5" t="s">
        <v>439</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1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I51"/>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1" ySplit="11" topLeftCell="B12" activePane="bottomRight" state="frozen"/>
      <selection pane="topLeft" activeCell="A1" activeCellId="0" sqref="A1"/>
      <selection pane="topRight" activeCell="B1" activeCellId="0" sqref="B1"/>
      <selection pane="bottomLeft" activeCell="A12" activeCellId="0" sqref="A12"/>
      <selection pane="bottomRight" activeCell="A1" activeCellId="0" sqref="A1"/>
    </sheetView>
  </sheetViews>
  <sheetFormatPr defaultColWidth="8.6796875" defaultRowHeight="15" zeroHeight="false" outlineLevelRow="0" outlineLevelCol="0"/>
  <cols>
    <col collapsed="false" customWidth="true" hidden="false" outlineLevel="0" max="1" min="1" style="0" width="18"/>
    <col collapsed="false" customWidth="true" hidden="false" outlineLevel="0" max="9" min="2" style="0" width="10"/>
  </cols>
  <sheetData>
    <row r="1" customFormat="false" ht="17.35" hidden="false" customHeight="false" outlineLevel="0" collapsed="false">
      <c r="A1" s="4" t="s">
        <v>440</v>
      </c>
    </row>
    <row r="3" customFormat="false" ht="26.85" hidden="false" customHeight="false" outlineLevel="0" collapsed="false">
      <c r="A3" s="7" t="s">
        <v>441</v>
      </c>
      <c r="B3" s="7" t="s">
        <v>442</v>
      </c>
      <c r="C3" s="7" t="s">
        <v>443</v>
      </c>
      <c r="D3" s="7" t="s">
        <v>444</v>
      </c>
    </row>
    <row r="4" customFormat="false" ht="15" hidden="false" customHeight="false" outlineLevel="0" collapsed="false">
      <c r="A4" s="19" t="s">
        <v>106</v>
      </c>
      <c r="B4" s="19" t="s">
        <v>70</v>
      </c>
      <c r="C4" s="25" t="n">
        <v>34.77</v>
      </c>
      <c r="D4" s="25" t="n">
        <v>-84.97</v>
      </c>
    </row>
    <row r="5" customFormat="false" ht="15" hidden="false" customHeight="false" outlineLevel="0" collapsed="false">
      <c r="A5" s="19" t="s">
        <v>107</v>
      </c>
      <c r="B5" s="19" t="s">
        <v>68</v>
      </c>
      <c r="C5" s="25" t="n">
        <v>34.298</v>
      </c>
      <c r="D5" s="25" t="n">
        <v>-83.824</v>
      </c>
    </row>
    <row r="6" customFormat="false" ht="15" hidden="false" customHeight="false" outlineLevel="0" collapsed="false">
      <c r="A6" s="19" t="s">
        <v>108</v>
      </c>
      <c r="B6" s="19" t="s">
        <v>109</v>
      </c>
      <c r="C6" s="25" t="n">
        <v>33.956</v>
      </c>
      <c r="D6" s="25" t="n">
        <v>-83.988</v>
      </c>
    </row>
    <row r="7" customFormat="false" ht="15" hidden="false" customHeight="false" outlineLevel="0" collapsed="false">
      <c r="A7" s="19" t="s">
        <v>110</v>
      </c>
      <c r="B7" s="19" t="s">
        <v>67</v>
      </c>
      <c r="C7" s="25" t="n">
        <v>31.578</v>
      </c>
      <c r="D7" s="25" t="n">
        <v>-84.156</v>
      </c>
    </row>
    <row r="8" customFormat="false" ht="15" hidden="false" customHeight="false" outlineLevel="0" collapsed="false">
      <c r="A8" s="19" t="s">
        <v>111</v>
      </c>
      <c r="B8" s="19" t="s">
        <v>74</v>
      </c>
      <c r="C8" s="25" t="n">
        <v>33.751</v>
      </c>
      <c r="D8" s="25" t="n">
        <v>-84.747</v>
      </c>
    </row>
    <row r="9" customFormat="false" ht="15" hidden="false" customHeight="false" outlineLevel="0" collapsed="false">
      <c r="A9" s="19" t="s">
        <v>169</v>
      </c>
      <c r="B9" s="19" t="s">
        <v>172</v>
      </c>
      <c r="C9" s="25" t="n">
        <v>32.841</v>
      </c>
      <c r="D9" s="25" t="n">
        <v>-83.632</v>
      </c>
    </row>
    <row r="10" customFormat="false" ht="15" hidden="false" customHeight="false" outlineLevel="0" collapsed="false">
      <c r="A10" s="5" t="s">
        <v>445</v>
      </c>
    </row>
    <row r="11" customFormat="false" ht="15" hidden="false" customHeight="false" outlineLevel="0" collapsed="false">
      <c r="A11" s="7" t="s">
        <v>446</v>
      </c>
      <c r="B11" s="7" t="s">
        <v>443</v>
      </c>
      <c r="C11" s="7" t="s">
        <v>444</v>
      </c>
      <c r="D11" s="7" t="s">
        <v>106</v>
      </c>
      <c r="E11" s="7" t="s">
        <v>107</v>
      </c>
      <c r="F11" s="7" t="s">
        <v>108</v>
      </c>
      <c r="G11" s="7" t="s">
        <v>110</v>
      </c>
      <c r="H11" s="7" t="s">
        <v>111</v>
      </c>
      <c r="I11" s="7" t="s">
        <v>169</v>
      </c>
    </row>
    <row r="12" customFormat="false" ht="15" hidden="false" customHeight="false" outlineLevel="0" collapsed="false">
      <c r="A12" s="19" t="s">
        <v>402</v>
      </c>
      <c r="B12" s="25" t="n">
        <v>34.369</v>
      </c>
      <c r="C12" s="25" t="n">
        <v>-84.934</v>
      </c>
      <c r="D12" s="20" t="n">
        <f aca="false">IF(AND($B12=$C$4,$C12=$D$4),0,MAX(0.25,Assumptions!$B$17+Assumptions!$B$18*3958.8*ACOS(MIN(1,SIN(RADIANS($B12))*SIN(RADIANS($C$4))+COS(RADIANS($B12))*COS(RADIANS($C$4))*COS(RADIANS($D$4-$C12))))))</f>
        <v>0.736550193232247</v>
      </c>
      <c r="E12" s="20" t="n">
        <f aca="false">IF(AND($B12=$C$5,$C12=$D$5),0,MAX(0.25,Assumptions!$B$17+Assumptions!$B$18*3958.8*ACOS(MIN(1,SIN(RADIANS($B12))*SIN(RADIANS($C$5))+COS(RADIANS($B12))*COS(RADIANS($C$5))*COS(RADIANS($D$5-$C12))))))</f>
        <v>1.39164466568522</v>
      </c>
      <c r="F12" s="20" t="n">
        <f aca="false">IF(AND($B12=$C$6,$C12=$D$6),0,MAX(0.25,Assumptions!$B$17+Assumptions!$B$18*3958.8*ACOS(MIN(1,SIN(RADIANS($B12))*SIN(RADIANS($C$6))+COS(RADIANS($B12))*COS(RADIANS($C$6))*COS(RADIANS($D$6-$C12))))))</f>
        <v>1.34818793564219</v>
      </c>
      <c r="G12" s="20" t="n">
        <f aca="false">IF(AND($B12=$C$7,$C12=$D$7),0,MAX(0.25,Assumptions!$B$17+Assumptions!$B$18*3958.8*ACOS(MIN(1,SIN(RADIANS($B12))*SIN(RADIANS($C$7))+COS(RADIANS($B12))*COS(RADIANS($C$7))*COS(RADIANS($D$7-$C12))))))</f>
        <v>3.85741105259862</v>
      </c>
      <c r="H12" s="20" t="n">
        <f aca="false">IF(AND($B12=$C$8,$C12=$D$8),0,MAX(0.25,Assumptions!$B$17+Assumptions!$B$18*3958.8*ACOS(MIN(1,SIN(RADIANS($B12))*SIN(RADIANS($C$8))+COS(RADIANS($B12))*COS(RADIANS($C$8))*COS(RADIANS($D$8-$C12))))))</f>
        <v>1.03421101306905</v>
      </c>
      <c r="I12" s="20" t="n">
        <f aca="false">IF(AND($B12=$C$9,$C12=$D$9),0,MAX(0.25,Assumptions!$B$17+Assumptions!$B$18*3958.8*ACOS(MIN(1,SIN(RADIANS($B12))*SIN(RADIANS($C$9))+COS(RADIANS($B12))*COS(RADIANS($C$9))*COS(RADIANS($D$9-$C12))))))</f>
        <v>2.60025665226943</v>
      </c>
    </row>
    <row r="13" customFormat="false" ht="15" hidden="false" customHeight="false" outlineLevel="0" collapsed="false">
      <c r="A13" s="19" t="s">
        <v>67</v>
      </c>
      <c r="B13" s="25" t="n">
        <v>31.578</v>
      </c>
      <c r="C13" s="25" t="n">
        <v>-84.156</v>
      </c>
      <c r="D13" s="20" t="n">
        <f aca="false">IF(AND($B13=$C$4,$C13=$D$4),0,MAX(0.25,Assumptions!$B$17+Assumptions!$B$18*3958.8*ACOS(MIN(1,SIN(RADIANS($B13))*SIN(RADIANS($C$4))+COS(RADIANS($B13))*COS(RADIANS($C$4))*COS(RADIANS($D$4-$C13))))))</f>
        <v>4.3609642399847</v>
      </c>
      <c r="E13" s="20" t="n">
        <f aca="false">IF(AND($B13=$C$5,$C13=$D$5),0,MAX(0.25,Assumptions!$B$17+Assumptions!$B$18*3958.8*ACOS(MIN(1,SIN(RADIANS($B13))*SIN(RADIANS($C$5))+COS(RADIANS($B13))*COS(RADIANS($C$5))*COS(RADIANS($D$5-$C13))))))</f>
        <v>3.69018569087779</v>
      </c>
      <c r="F13" s="20" t="n">
        <f aca="false">IF(AND($B13=$C$6,$C13=$D$6),0,MAX(0.25,Assumptions!$B$17+Assumptions!$B$18*3958.8*ACOS(MIN(1,SIN(RADIANS($B13))*SIN(RADIANS($C$6))+COS(RADIANS($B13))*COS(RADIANS($C$6))*COS(RADIANS($D$6-$C13))))))</f>
        <v>3.24433243412979</v>
      </c>
      <c r="G13" s="20" t="n">
        <f aca="false">IF(AND($B13=$C$7,$C13=$D$7),0,MAX(0.25,Assumptions!$B$17+Assumptions!$B$18*3958.8*ACOS(MIN(1,SIN(RADIANS($B13))*SIN(RADIANS($C$7))+COS(RADIANS($B13))*COS(RADIANS($C$7))*COS(RADIANS($D$7-$C13))))))</f>
        <v>0</v>
      </c>
      <c r="H13" s="20" t="n">
        <f aca="false">IF(AND($B13=$C$8,$C13=$D$8),0,MAX(0.25,Assumptions!$B$17+Assumptions!$B$18*3958.8*ACOS(MIN(1,SIN(RADIANS($B13))*SIN(RADIANS($C$8))+COS(RADIANS($B13))*COS(RADIANS($C$8))*COS(RADIANS($D$8-$C13))))))</f>
        <v>3.05058889168361</v>
      </c>
      <c r="I13" s="20" t="n">
        <f aca="false">IF(AND($B13=$C$9,$C13=$D$9),0,MAX(0.25,Assumptions!$B$17+Assumptions!$B$18*3958.8*ACOS(MIN(1,SIN(RADIANS($B13))*SIN(RADIANS($C$9))+COS(RADIANS($B13))*COS(RADIANS($C$9))*COS(RADIANS($D$9-$C13))))))</f>
        <v>1.92256758934107</v>
      </c>
    </row>
    <row r="14" customFormat="false" ht="15" hidden="false" customHeight="false" outlineLevel="0" collapsed="false">
      <c r="A14" s="19" t="s">
        <v>331</v>
      </c>
      <c r="B14" s="25" t="n">
        <v>34.075</v>
      </c>
      <c r="C14" s="25" t="n">
        <v>-84.294</v>
      </c>
      <c r="D14" s="20" t="n">
        <f aca="false">IF(AND($B14=$C$4,$C14=$D$4),0,MAX(0.25,Assumptions!$B$17+Assumptions!$B$18*3958.8*ACOS(MIN(1,SIN(RADIANS($B14))*SIN(RADIANS($C$4))+COS(RADIANS($B14))*COS(RADIANS($C$4))*COS(RADIANS($D$4-$C14))))))</f>
        <v>1.35580453376902</v>
      </c>
      <c r="E14" s="20" t="n">
        <f aca="false">IF(AND($B14=$C$5,$C14=$D$5),0,MAX(0.25,Assumptions!$B$17+Assumptions!$B$18*3958.8*ACOS(MIN(1,SIN(RADIANS($B14))*SIN(RADIANS($C$5))+COS(RADIANS($B14))*COS(RADIANS($C$5))*COS(RADIANS($D$5-$C14))))))</f>
        <v>0.794946879478499</v>
      </c>
      <c r="F14" s="20" t="n">
        <f aca="false">IF(AND($B14=$C$6,$C14=$D$6),0,MAX(0.25,Assumptions!$B$17+Assumptions!$B$18*3958.8*ACOS(MIN(1,SIN(RADIANS($B14))*SIN(RADIANS($C$6))+COS(RADIANS($B14))*COS(RADIANS($C$6))*COS(RADIANS($D$6-$C14))))))</f>
        <v>0.58213046879447</v>
      </c>
      <c r="G14" s="20" t="n">
        <f aca="false">IF(AND($B14=$C$7,$C14=$D$7),0,MAX(0.25,Assumptions!$B$17+Assumptions!$B$18*3958.8*ACOS(MIN(1,SIN(RADIANS($B14))*SIN(RADIANS($C$7))+COS(RADIANS($B14))*COS(RADIANS($C$7))*COS(RADIANS($D$7-$C14))))))</f>
        <v>3.39314468763514</v>
      </c>
      <c r="H14" s="20" t="n">
        <f aca="false">IF(AND($B14=$C$8,$C14=$D$8),0,MAX(0.25,Assumptions!$B$17+Assumptions!$B$18*3958.8*ACOS(MIN(1,SIN(RADIANS($B14))*SIN(RADIANS($C$8))+COS(RADIANS($B14))*COS(RADIANS($C$8))*COS(RADIANS($D$8-$C14))))))</f>
        <v>0.855849536723287</v>
      </c>
      <c r="I14" s="20" t="n">
        <f aca="false">IF(AND($B14=$C$9,$C14=$D$9),0,MAX(0.25,Assumptions!$B$17+Assumptions!$B$18*3958.8*ACOS(MIN(1,SIN(RADIANS($B14))*SIN(RADIANS($C$9))+COS(RADIANS($B14))*COS(RADIANS($C$9))*COS(RADIANS($D$9-$C14))))))</f>
        <v>1.93953492393304</v>
      </c>
    </row>
    <row r="15" customFormat="false" ht="15" hidden="false" customHeight="false" outlineLevel="0" collapsed="false">
      <c r="A15" s="19" t="s">
        <v>360</v>
      </c>
      <c r="B15" s="25" t="n">
        <v>33.961</v>
      </c>
      <c r="C15" s="25" t="n">
        <v>-83.378</v>
      </c>
      <c r="D15" s="20" t="n">
        <f aca="false">IF(AND($B15=$C$4,$C15=$D$4),0,MAX(0.25,Assumptions!$B$17+Assumptions!$B$18*3958.8*ACOS(MIN(1,SIN(RADIANS($B15))*SIN(RADIANS($C$4))+COS(RADIANS($B15))*COS(RADIANS($C$4))*COS(RADIANS($D$4-$C15))))))</f>
        <v>2.1816837610299</v>
      </c>
      <c r="E15" s="20" t="n">
        <f aca="false">IF(AND($B15=$C$5,$C15=$D$5),0,MAX(0.25,Assumptions!$B$17+Assumptions!$B$18*3958.8*ACOS(MIN(1,SIN(RADIANS($B15))*SIN(RADIANS($C$5))+COS(RADIANS($B15))*COS(RADIANS($C$5))*COS(RADIANS($D$5-$C15))))))</f>
        <v>0.860377945640518</v>
      </c>
      <c r="F15" s="20" t="n">
        <f aca="false">IF(AND($B15=$C$6,$C15=$D$6),0,MAX(0.25,Assumptions!$B$17+Assumptions!$B$18*3958.8*ACOS(MIN(1,SIN(RADIANS($B15))*SIN(RADIANS($C$6))+COS(RADIANS($B15))*COS(RADIANS($C$6))*COS(RADIANS($D$6-$C15))))))</f>
        <v>0.86812584419797</v>
      </c>
      <c r="G15" s="20" t="n">
        <f aca="false">IF(AND($B15=$C$7,$C15=$D$7),0,MAX(0.25,Assumptions!$B$17+Assumptions!$B$18*3958.8*ACOS(MIN(1,SIN(RADIANS($B15))*SIN(RADIANS($C$7))+COS(RADIANS($B15))*COS(RADIANS($C$7))*COS(RADIANS($D$7-$C15))))))</f>
        <v>3.35697914864106</v>
      </c>
      <c r="H15" s="20" t="n">
        <f aca="false">IF(AND($B15=$C$8,$C15=$D$8),0,MAX(0.25,Assumptions!$B$17+Assumptions!$B$18*3958.8*ACOS(MIN(1,SIN(RADIANS($B15))*SIN(RADIANS($C$8))+COS(RADIANS($B15))*COS(RADIANS($C$8))*COS(RADIANS($D$8-$C15))))))</f>
        <v>1.69148920318618</v>
      </c>
      <c r="I15" s="20" t="n">
        <f aca="false">IF(AND($B15=$C$9,$C15=$D$9),0,MAX(0.25,Assumptions!$B$17+Assumptions!$B$18*3958.8*ACOS(MIN(1,SIN(RADIANS($B15))*SIN(RADIANS($C$9))+COS(RADIANS($B15))*COS(RADIANS($C$9))*COS(RADIANS($D$9-$C15))))))</f>
        <v>1.67097148415567</v>
      </c>
    </row>
    <row r="16" customFormat="false" ht="15" hidden="false" customHeight="false" outlineLevel="0" collapsed="false">
      <c r="A16" s="19" t="s">
        <v>322</v>
      </c>
      <c r="B16" s="25" t="n">
        <v>33.749</v>
      </c>
      <c r="C16" s="25" t="n">
        <v>-84.388</v>
      </c>
      <c r="D16" s="20" t="n">
        <f aca="false">IF(AND($B16=$C$4,$C16=$D$4),0,MAX(0.25,Assumptions!$B$17+Assumptions!$B$18*3958.8*ACOS(MIN(1,SIN(RADIANS($B16))*SIN(RADIANS($C$4))+COS(RADIANS($B16))*COS(RADIANS($C$4))*COS(RADIANS($D$4-$C16))))))</f>
        <v>1.65670462748578</v>
      </c>
      <c r="E16" s="20" t="n">
        <f aca="false">IF(AND($B16=$C$5,$C16=$D$5),0,MAX(0.25,Assumptions!$B$17+Assumptions!$B$18*3958.8*ACOS(MIN(1,SIN(RADIANS($B16))*SIN(RADIANS($C$5))+COS(RADIANS($B16))*COS(RADIANS($C$5))*COS(RADIANS($D$5-$C16))))))</f>
        <v>1.14049798600238</v>
      </c>
      <c r="F16" s="20" t="n">
        <f aca="false">IF(AND($B16=$C$6,$C16=$D$6),0,MAX(0.25,Assumptions!$B$17+Assumptions!$B$18*3958.8*ACOS(MIN(1,SIN(RADIANS($B16))*SIN(RADIANS($C$6))+COS(RADIANS($B16))*COS(RADIANS($C$6))*COS(RADIANS($D$6-$C16))))))</f>
        <v>0.723013572465791</v>
      </c>
      <c r="G16" s="20" t="n">
        <f aca="false">IF(AND($B16=$C$7,$C16=$D$7),0,MAX(0.25,Assumptions!$B$17+Assumptions!$B$18*3958.8*ACOS(MIN(1,SIN(RADIANS($B16))*SIN(RADIANS($C$7))+COS(RADIANS($B16))*COS(RADIANS($C$7))*COS(RADIANS($D$7-$C16))))))</f>
        <v>2.98796135280908</v>
      </c>
      <c r="H16" s="20" t="n">
        <f aca="false">IF(AND($B16=$C$8,$C16=$D$8),0,MAX(0.25,Assumptions!$B$17+Assumptions!$B$18*3958.8*ACOS(MIN(1,SIN(RADIANS($B16))*SIN(RADIANS($C$8))+COS(RADIANS($B16))*COS(RADIANS($C$8))*COS(RADIANS($D$8-$C16))))))</f>
        <v>0.605353926696783</v>
      </c>
      <c r="I16" s="20" t="n">
        <f aca="false">IF(AND($B16=$C$9,$C16=$D$9),0,MAX(0.25,Assumptions!$B$17+Assumptions!$B$18*3958.8*ACOS(MIN(1,SIN(RADIANS($B16))*SIN(RADIANS($C$9))+COS(RADIANS($B16))*COS(RADIANS($C$9))*COS(RADIANS($D$9-$C16))))))</f>
        <v>1.62833689294543</v>
      </c>
    </row>
    <row r="17" customFormat="false" ht="15" hidden="false" customHeight="false" outlineLevel="0" collapsed="false">
      <c r="A17" s="19" t="s">
        <v>381</v>
      </c>
      <c r="B17" s="25" t="n">
        <v>33.471</v>
      </c>
      <c r="C17" s="25" t="n">
        <v>-81.975</v>
      </c>
      <c r="D17" s="20" t="n">
        <f aca="false">IF(AND($B17=$C$4,$C17=$D$4),0,MAX(0.25,Assumptions!$B$17+Assumptions!$B$18*3958.8*ACOS(MIN(1,SIN(RADIANS($B17))*SIN(RADIANS($C$4))+COS(RADIANS($B17))*COS(RADIANS($C$4))*COS(RADIANS($D$4-$C17))))))</f>
        <v>3.77211812733462</v>
      </c>
      <c r="E17" s="20" t="n">
        <f aca="false">IF(AND($B17=$C$5,$C17=$D$5),0,MAX(0.25,Assumptions!$B$17+Assumptions!$B$18*3958.8*ACOS(MIN(1,SIN(RADIANS($B17))*SIN(RADIANS($C$5))+COS(RADIANS($B17))*COS(RADIANS($C$5))*COS(RADIANS($D$5-$C17))))))</f>
        <v>2.43547532331435</v>
      </c>
      <c r="F17" s="20" t="n">
        <f aca="false">IF(AND($B17=$C$6,$C17=$D$6),0,MAX(0.25,Assumptions!$B$17+Assumptions!$B$18*3958.8*ACOS(MIN(1,SIN(RADIANS($B17))*SIN(RADIANS($C$6))+COS(RADIANS($B17))*COS(RADIANS($C$6))*COS(RADIANS($D$6-$C17))))))</f>
        <v>2.43511487937272</v>
      </c>
      <c r="G17" s="20" t="n">
        <f aca="false">IF(AND($B17=$C$7,$C17=$D$7),0,MAX(0.25,Assumptions!$B$17+Assumptions!$B$18*3958.8*ACOS(MIN(1,SIN(RADIANS($B17))*SIN(RADIANS($C$7))+COS(RADIANS($B17))*COS(RADIANS($C$7))*COS(RADIANS($D$7-$C17))))))</f>
        <v>3.56958222628392</v>
      </c>
      <c r="H17" s="20" t="n">
        <f aca="false">IF(AND($B17=$C$8,$C17=$D$8),0,MAX(0.25,Assumptions!$B$17+Assumptions!$B$18*3958.8*ACOS(MIN(1,SIN(RADIANS($B17))*SIN(RADIANS($C$8))+COS(RADIANS($B17))*COS(RADIANS($C$8))*COS(RADIANS($D$8-$C17))))))</f>
        <v>3.17241651123156</v>
      </c>
      <c r="I17" s="20" t="n">
        <f aca="false">IF(AND($B17=$C$9,$C17=$D$9),0,MAX(0.25,Assumptions!$B$17+Assumptions!$B$18*3958.8*ACOS(MIN(1,SIN(RADIANS($B17))*SIN(RADIANS($C$9))+COS(RADIANS($B17))*COS(RADIANS($C$9))*COS(RADIANS($D$9-$C17))))))</f>
        <v>2.15685811552239</v>
      </c>
    </row>
    <row r="18" customFormat="false" ht="15" hidden="false" customHeight="false" outlineLevel="0" collapsed="false">
      <c r="A18" s="19" t="s">
        <v>347</v>
      </c>
      <c r="B18" s="25" t="n">
        <v>30.904</v>
      </c>
      <c r="C18" s="25" t="n">
        <v>-84.575</v>
      </c>
      <c r="D18" s="20" t="n">
        <f aca="false">IF(AND($B18=$C$4,$C18=$D$4),0,MAX(0.25,Assumptions!$B$17+Assumptions!$B$18*3958.8*ACOS(MIN(1,SIN(RADIANS($B18))*SIN(RADIANS($C$4))+COS(RADIANS($B18))*COS(RADIANS($C$4))*COS(RADIANS($D$4-$C18))))))</f>
        <v>5.14156236956149</v>
      </c>
      <c r="E18" s="20" t="n">
        <f aca="false">IF(AND($B18=$C$5,$C18=$D$5),0,MAX(0.25,Assumptions!$B$17+Assumptions!$B$18*3958.8*ACOS(MIN(1,SIN(RADIANS($B18))*SIN(RADIANS($C$5))+COS(RADIANS($B18))*COS(RADIANS($C$5))*COS(RADIANS($D$5-$C18))))))</f>
        <v>4.5997804322665</v>
      </c>
      <c r="F18" s="20" t="n">
        <f aca="false">IF(AND($B18=$C$6,$C18=$D$6),0,MAX(0.25,Assumptions!$B$17+Assumptions!$B$18*3958.8*ACOS(MIN(1,SIN(RADIANS($B18))*SIN(RADIANS($C$6))+COS(RADIANS($B18))*COS(RADIANS($C$6))*COS(RADIANS($D$6-$C18))))))</f>
        <v>4.14321727052858</v>
      </c>
      <c r="G18" s="20" t="n">
        <f aca="false">IF(AND($B18=$C$7,$C18=$D$7),0,MAX(0.25,Assumptions!$B$17+Assumptions!$B$18*3958.8*ACOS(MIN(1,SIN(RADIANS($B18))*SIN(RADIANS($C$7))+COS(RADIANS($B18))*COS(RADIANS($C$7))*COS(RADIANS($D$7-$C18))))))</f>
        <v>1.19400160999596</v>
      </c>
      <c r="H18" s="20" t="n">
        <f aca="false">IF(AND($B18=$C$8,$C18=$D$8),0,MAX(0.25,Assumptions!$B$17+Assumptions!$B$18*3958.8*ACOS(MIN(1,SIN(RADIANS($B18))*SIN(RADIANS($C$8))+COS(RADIANS($B18))*COS(RADIANS($C$8))*COS(RADIANS($D$8-$C18))))))</f>
        <v>3.83770389786129</v>
      </c>
      <c r="I18" s="20" t="n">
        <f aca="false">IF(AND($B18=$C$9,$C18=$D$9),0,MAX(0.25,Assumptions!$B$17+Assumptions!$B$18*3958.8*ACOS(MIN(1,SIN(RADIANS($B18))*SIN(RADIANS($C$9))+COS(RADIANS($B18))*COS(RADIANS($C$9))*COS(RADIANS($D$9-$C18))))))</f>
        <v>2.88185146197884</v>
      </c>
    </row>
    <row r="19" customFormat="false" ht="15" hidden="false" customHeight="false" outlineLevel="0" collapsed="false">
      <c r="A19" s="19" t="s">
        <v>393</v>
      </c>
      <c r="B19" s="25" t="n">
        <v>30.878</v>
      </c>
      <c r="C19" s="25" t="n">
        <v>-84.202</v>
      </c>
      <c r="D19" s="20" t="n">
        <f aca="false">IF(AND($B19=$C$4,$C19=$D$4),0,MAX(0.25,Assumptions!$B$17+Assumptions!$B$18*3958.8*ACOS(MIN(1,SIN(RADIANS($B19))*SIN(RADIANS($C$4))+COS(RADIANS($B19))*COS(RADIANS($C$4))*COS(RADIANS($D$4-$C19))))))</f>
        <v>5.22374914799933</v>
      </c>
      <c r="E19" s="20" t="n">
        <f aca="false">IF(AND($B19=$C$5,$C19=$D$5),0,MAX(0.25,Assumptions!$B$17+Assumptions!$B$18*3958.8*ACOS(MIN(1,SIN(RADIANS($B19))*SIN(RADIANS($C$5))+COS(RADIANS($B19))*COS(RADIANS($C$5))*COS(RADIANS($D$5-$C19))))))</f>
        <v>4.5774409534618</v>
      </c>
      <c r="F19" s="20" t="n">
        <f aca="false">IF(AND($B19=$C$6,$C19=$D$6),0,MAX(0.25,Assumptions!$B$17+Assumptions!$B$18*3958.8*ACOS(MIN(1,SIN(RADIANS($B19))*SIN(RADIANS($C$6))+COS(RADIANS($B19))*COS(RADIANS($C$6))*COS(RADIANS($D$6-$C19))))))</f>
        <v>4.13227565603012</v>
      </c>
      <c r="G19" s="20" t="n">
        <f aca="false">IF(AND($B19=$C$7,$C19=$D$7),0,MAX(0.25,Assumptions!$B$17+Assumptions!$B$18*3958.8*ACOS(MIN(1,SIN(RADIANS($B19))*SIN(RADIANS($C$7))+COS(RADIANS($B19))*COS(RADIANS($C$7))*COS(RADIANS($D$7-$C19))))))</f>
        <v>1.11524488920636</v>
      </c>
      <c r="H19" s="20" t="n">
        <f aca="false">IF(AND($B19=$C$8,$C19=$D$8),0,MAX(0.25,Assumptions!$B$17+Assumptions!$B$18*3958.8*ACOS(MIN(1,SIN(RADIANS($B19))*SIN(RADIANS($C$8))+COS(RADIANS($B19))*COS(RADIANS($C$8))*COS(RADIANS($D$8-$C19))))))</f>
        <v>3.91238135399805</v>
      </c>
      <c r="I19" s="20" t="n">
        <f aca="false">IF(AND($B19=$C$9,$C19=$D$9),0,MAX(0.25,Assumptions!$B$17+Assumptions!$B$18*3958.8*ACOS(MIN(1,SIN(RADIANS($B19))*SIN(RADIANS($C$9))+COS(RADIANS($B19))*COS(RADIANS($C$9))*COS(RADIANS($D$9-$C19))))))</f>
        <v>2.78790608608054</v>
      </c>
    </row>
    <row r="20" customFormat="false" ht="15" hidden="false" customHeight="false" outlineLevel="0" collapsed="false">
      <c r="A20" s="19" t="s">
        <v>327</v>
      </c>
      <c r="B20" s="25" t="n">
        <v>34.237</v>
      </c>
      <c r="C20" s="25" t="n">
        <v>-84.491</v>
      </c>
      <c r="D20" s="20" t="n">
        <f aca="false">IF(AND($B20=$C$4,$C20=$D$4),0,MAX(0.25,Assumptions!$B$17+Assumptions!$B$18*3958.8*ACOS(MIN(1,SIN(RADIANS($B20))*SIN(RADIANS($C$4))+COS(RADIANS($B20))*COS(RADIANS($C$4))*COS(RADIANS($D$4-$C20))))))</f>
        <v>1.06730741256825</v>
      </c>
      <c r="E20" s="20" t="n">
        <f aca="false">IF(AND($B20=$C$5,$C20=$D$5),0,MAX(0.25,Assumptions!$B$17+Assumptions!$B$18*3958.8*ACOS(MIN(1,SIN(RADIANS($B20))*SIN(RADIANS($C$5))+COS(RADIANS($B20))*COS(RADIANS($C$5))*COS(RADIANS($D$5-$C20))))))</f>
        <v>0.929678488589378</v>
      </c>
      <c r="F20" s="20" t="n">
        <f aca="false">IF(AND($B20=$C$6,$C20=$D$6),0,MAX(0.25,Assumptions!$B$17+Assumptions!$B$18*3958.8*ACOS(MIN(1,SIN(RADIANS($B20))*SIN(RADIANS($C$6))+COS(RADIANS($B20))*COS(RADIANS($C$6))*COS(RADIANS($D$6-$C20))))))</f>
        <v>0.863653279055859</v>
      </c>
      <c r="G20" s="20" t="n">
        <f aca="false">IF(AND($B20=$C$7,$C20=$D$7),0,MAX(0.25,Assumptions!$B$17+Assumptions!$B$18*3958.8*ACOS(MIN(1,SIN(RADIANS($B20))*SIN(RADIANS($C$7))+COS(RADIANS($B20))*COS(RADIANS($C$7))*COS(RADIANS($D$7-$C20))))))</f>
        <v>3.61368761820227</v>
      </c>
      <c r="H20" s="20" t="n">
        <f aca="false">IF(AND($B20=$C$8,$C20=$D$8),0,MAX(0.25,Assumptions!$B$17+Assumptions!$B$18*3958.8*ACOS(MIN(1,SIN(RADIANS($B20))*SIN(RADIANS($C$8))+COS(RADIANS($B20))*COS(RADIANS($C$8))*COS(RADIANS($D$8-$C20))))))</f>
        <v>0.898954072469571</v>
      </c>
      <c r="I20" s="20" t="n">
        <f aca="false">IF(AND($B20=$C$9,$C20=$D$9),0,MAX(0.25,Assumptions!$B$17+Assumptions!$B$18*3958.8*ACOS(MIN(1,SIN(RADIANS($B20))*SIN(RADIANS($C$9))+COS(RADIANS($B20))*COS(RADIANS($C$9))*COS(RADIANS($D$9-$C20))))))</f>
        <v>2.21428005875626</v>
      </c>
    </row>
    <row r="21" customFormat="false" ht="15" hidden="false" customHeight="false" outlineLevel="0" collapsed="false">
      <c r="A21" s="19" t="s">
        <v>404</v>
      </c>
      <c r="B21" s="25" t="n">
        <v>34.766</v>
      </c>
      <c r="C21" s="25" t="n">
        <v>-84.77</v>
      </c>
      <c r="D21" s="20" t="n">
        <f aca="false">IF(AND($B21=$C$4,$C21=$D$4),0,MAX(0.25,Assumptions!$B$17+Assumptions!$B$18*3958.8*ACOS(MIN(1,SIN(RADIANS($B21))*SIN(RADIANS($C$4))+COS(RADIANS($B21))*COS(RADIANS($C$4))*COS(RADIANS($D$4-$C21))))))</f>
        <v>0.43543856459649</v>
      </c>
      <c r="E21" s="20" t="n">
        <f aca="false">IF(AND($B21=$C$5,$C21=$D$5),0,MAX(0.25,Assumptions!$B$17+Assumptions!$B$18*3958.8*ACOS(MIN(1,SIN(RADIANS($B21))*SIN(RADIANS($C$5))+COS(RADIANS($B21))*COS(RADIANS($C$5))*COS(RADIANS($D$5-$C21))))))</f>
        <v>1.3785968679411</v>
      </c>
      <c r="F21" s="20" t="n">
        <f aca="false">IF(AND($B21=$C$6,$C21=$D$6),0,MAX(0.25,Assumptions!$B$17+Assumptions!$B$18*3958.8*ACOS(MIN(1,SIN(RADIANS($B21))*SIN(RADIANS($C$6))+COS(RADIANS($B21))*COS(RADIANS($C$6))*COS(RADIANS($D$6-$C21))))))</f>
        <v>1.53908675387204</v>
      </c>
      <c r="G21" s="20" t="n">
        <f aca="false">IF(AND($B21=$C$7,$C21=$D$7),0,MAX(0.25,Assumptions!$B$17+Assumptions!$B$18*3958.8*ACOS(MIN(1,SIN(RADIANS($B21))*SIN(RADIANS($C$7))+COS(RADIANS($B21))*COS(RADIANS($C$7))*COS(RADIANS($D$7-$C21))))))</f>
        <v>4.31698383166458</v>
      </c>
      <c r="H21" s="20" t="n">
        <f aca="false">IF(AND($B21=$C$8,$C21=$D$8),0,MAX(0.25,Assumptions!$B$17+Assumptions!$B$18*3958.8*ACOS(MIN(1,SIN(RADIANS($B21))*SIN(RADIANS($C$8))+COS(RADIANS($B21))*COS(RADIANS($C$8))*COS(RADIANS($D$8-$C21))))))</f>
        <v>1.51301759089179</v>
      </c>
      <c r="I21" s="20" t="n">
        <f aca="false">IF(AND($B21=$C$9,$C21=$D$9),0,MAX(0.25,Assumptions!$B$17+Assumptions!$B$18*3958.8*ACOS(MIN(1,SIN(RADIANS($B21))*SIN(RADIANS($C$9))+COS(RADIANS($B21))*COS(RADIANS($C$9))*COS(RADIANS($D$9-$C21))))))</f>
        <v>2.94351611906169</v>
      </c>
    </row>
    <row r="22" customFormat="false" ht="15" hidden="false" customHeight="false" outlineLevel="0" collapsed="false">
      <c r="A22" s="19" t="s">
        <v>343</v>
      </c>
      <c r="B22" s="25" t="n">
        <v>33.653</v>
      </c>
      <c r="C22" s="25" t="n">
        <v>-84.449</v>
      </c>
      <c r="D22" s="20" t="n">
        <f aca="false">IF(AND($B22=$C$4,$C22=$D$4),0,MAX(0.25,Assumptions!$B$17+Assumptions!$B$18*3958.8*ACOS(MIN(1,SIN(RADIANS($B22))*SIN(RADIANS($C$4))+COS(RADIANS($B22))*COS(RADIANS($C$4))*COS(RADIANS($D$4-$C22))))))</f>
        <v>1.74355735989044</v>
      </c>
      <c r="E22" s="20" t="n">
        <f aca="false">IF(AND($B22=$C$5,$C22=$D$5),0,MAX(0.25,Assumptions!$B$17+Assumptions!$B$18*3958.8*ACOS(MIN(1,SIN(RADIANS($B22))*SIN(RADIANS($C$5))+COS(RADIANS($B22))*COS(RADIANS($C$5))*COS(RADIANS($D$5-$C22))))))</f>
        <v>1.27524321771142</v>
      </c>
      <c r="F22" s="20" t="n">
        <f aca="false">IF(AND($B22=$C$6,$C22=$D$6),0,MAX(0.25,Assumptions!$B$17+Assumptions!$B$18*3958.8*ACOS(MIN(1,SIN(RADIANS($B22))*SIN(RADIANS($C$6))+COS(RADIANS($B22))*COS(RADIANS($C$6))*COS(RADIANS($D$6-$C22))))))</f>
        <v>0.84587054397902</v>
      </c>
      <c r="G22" s="20" t="n">
        <f aca="false">IF(AND($B22=$C$7,$C22=$D$7),0,MAX(0.25,Assumptions!$B$17+Assumptions!$B$18*3958.8*ACOS(MIN(1,SIN(RADIANS($B22))*SIN(RADIANS($C$7))+COS(RADIANS($B22))*COS(RADIANS($C$7))*COS(RADIANS($D$7-$C22))))))</f>
        <v>2.87379475129968</v>
      </c>
      <c r="H22" s="20" t="n">
        <f aca="false">IF(AND($B22=$C$8,$C22=$D$8),0,MAX(0.25,Assumptions!$B$17+Assumptions!$B$18*3958.8*ACOS(MIN(1,SIN(RADIANS($B22))*SIN(RADIANS($C$8))+COS(RADIANS($B22))*COS(RADIANS($C$8))*COS(RADIANS($D$8-$C22))))))</f>
        <v>0.564926078343514</v>
      </c>
      <c r="I22" s="20" t="n">
        <f aca="false">IF(AND($B22=$C$9,$C22=$D$9),0,MAX(0.25,Assumptions!$B$17+Assumptions!$B$18*3958.8*ACOS(MIN(1,SIN(RADIANS($B22))*SIN(RADIANS($C$9))+COS(RADIANS($B22))*COS(RADIANS($C$9))*COS(RADIANS($D$9-$C22))))))</f>
        <v>1.57132520610167</v>
      </c>
    </row>
    <row r="23" customFormat="false" ht="15" hidden="false" customHeight="false" outlineLevel="0" collapsed="false">
      <c r="A23" s="19" t="s">
        <v>180</v>
      </c>
      <c r="B23" s="25" t="n">
        <v>32.461</v>
      </c>
      <c r="C23" s="25" t="n">
        <v>-84.988</v>
      </c>
      <c r="D23" s="20" t="n">
        <f aca="false">IF(AND($B23=$C$4,$C23=$D$4),0,MAX(0.25,Assumptions!$B$17+Assumptions!$B$18*3958.8*ACOS(MIN(1,SIN(RADIANS($B23))*SIN(RADIANS($C$4))+COS(RADIANS($B23))*COS(RADIANS($C$4))*COS(RADIANS($D$4-$C23))))))</f>
        <v>3.15169798317274</v>
      </c>
      <c r="E23" s="20" t="n">
        <f aca="false">IF(AND($B23=$C$5,$C23=$D$5),0,MAX(0.25,Assumptions!$B$17+Assumptions!$B$18*3958.8*ACOS(MIN(1,SIN(RADIANS($B23))*SIN(RADIANS($C$5))+COS(RADIANS($B23))*COS(RADIANS($C$5))*COS(RADIANS($D$5-$C23))))))</f>
        <v>2.85939832911611</v>
      </c>
      <c r="F23" s="20" t="n">
        <f aca="false">IF(AND($B23=$C$6,$C23=$D$6),0,MAX(0.25,Assumptions!$B$17+Assumptions!$B$18*3958.8*ACOS(MIN(1,SIN(RADIANS($B23))*SIN(RADIANS($C$6))+COS(RADIANS($B23))*COS(RADIANS($C$6))*COS(RADIANS($D$6-$C23))))))</f>
        <v>2.39702672891863</v>
      </c>
      <c r="G23" s="20" t="n">
        <f aca="false">IF(AND($B23=$C$7,$C23=$D$7),0,MAX(0.25,Assumptions!$B$17+Assumptions!$B$18*3958.8*ACOS(MIN(1,SIN(RADIANS($B23))*SIN(RADIANS($C$7))+COS(RADIANS($B23))*COS(RADIANS($C$7))*COS(RADIANS($D$7-$C23))))))</f>
        <v>1.65865809320617</v>
      </c>
      <c r="H23" s="20" t="n">
        <f aca="false">IF(AND($B23=$C$8,$C23=$D$8),0,MAX(0.25,Assumptions!$B$17+Assumptions!$B$18*3958.8*ACOS(MIN(1,SIN(RADIANS($B23))*SIN(RADIANS($C$8))+COS(RADIANS($B23))*COS(RADIANS($C$8))*COS(RADIANS($D$8-$C23))))))</f>
        <v>1.880961064493</v>
      </c>
      <c r="I23" s="20" t="n">
        <f aca="false">IF(AND($B23=$C$9,$C23=$D$9),0,MAX(0.25,Assumptions!$B$17+Assumptions!$B$18*3958.8*ACOS(MIN(1,SIN(RADIANS($B23))*SIN(RADIANS($C$9))+COS(RADIANS($B23))*COS(RADIANS($C$9))*COS(RADIANS($D$9-$C23))))))</f>
        <v>1.7512485020228</v>
      </c>
    </row>
    <row r="24" customFormat="false" ht="15" hidden="false" customHeight="false" outlineLevel="0" collapsed="false">
      <c r="A24" s="19" t="s">
        <v>408</v>
      </c>
      <c r="B24" s="25" t="n">
        <v>33.668</v>
      </c>
      <c r="C24" s="25" t="n">
        <v>-84.018</v>
      </c>
      <c r="D24" s="20" t="n">
        <f aca="false">IF(AND($B24=$C$4,$C24=$D$4),0,MAX(0.25,Assumptions!$B$17+Assumptions!$B$18*3958.8*ACOS(MIN(1,SIN(RADIANS($B24))*SIN(RADIANS($C$4))+COS(RADIANS($B24))*COS(RADIANS($C$4))*COS(RADIANS($D$4-$C24))))))</f>
        <v>1.94247376596463</v>
      </c>
      <c r="E24" s="20" t="n">
        <f aca="false">IF(AND($B24=$C$5,$C24=$D$5),0,MAX(0.25,Assumptions!$B$17+Assumptions!$B$18*3958.8*ACOS(MIN(1,SIN(RADIANS($B24))*SIN(RADIANS($C$5))+COS(RADIANS($B24))*COS(RADIANS($C$5))*COS(RADIANS($D$5-$C24))))))</f>
        <v>1.05079147815961</v>
      </c>
      <c r="F24" s="20" t="n">
        <f aca="false">IF(AND($B24=$C$6,$C24=$D$6),0,MAX(0.25,Assumptions!$B$17+Assumptions!$B$18*3958.8*ACOS(MIN(1,SIN(RADIANS($B24))*SIN(RADIANS($C$6))+COS(RADIANS($B24))*COS(RADIANS($C$6))*COS(RADIANS($D$6-$C24))))))</f>
        <v>0.593414048284936</v>
      </c>
      <c r="G24" s="20" t="n">
        <f aca="false">IF(AND($B24=$C$7,$C24=$D$7),0,MAX(0.25,Assumptions!$B$17+Assumptions!$B$18*3958.8*ACOS(MIN(1,SIN(RADIANS($B24))*SIN(RADIANS($C$7))+COS(RADIANS($B24))*COS(RADIANS($C$7))*COS(RADIANS($D$7-$C24))))))</f>
        <v>2.87836296425412</v>
      </c>
      <c r="H24" s="20" t="n">
        <f aca="false">IF(AND($B24=$C$8,$C24=$D$8),0,MAX(0.25,Assumptions!$B$17+Assumptions!$B$18*3958.8*ACOS(MIN(1,SIN(RADIANS($B24))*SIN(RADIANS($C$8))+COS(RADIANS($B24))*COS(RADIANS($C$8))*COS(RADIANS($D$8-$C24))))))</f>
        <v>1.0024957813912</v>
      </c>
      <c r="I24" s="20" t="n">
        <f aca="false">IF(AND($B24=$C$9,$C24=$D$9),0,MAX(0.25,Assumptions!$B$17+Assumptions!$B$18*3958.8*ACOS(MIN(1,SIN(RADIANS($B24))*SIN(RADIANS($C$9))+COS(RADIANS($B24))*COS(RADIANS($C$9))*COS(RADIANS($D$9-$C24))))))</f>
        <v>1.35164352099307</v>
      </c>
    </row>
    <row r="25" customFormat="false" ht="15" hidden="false" customHeight="false" outlineLevel="0" collapsed="false">
      <c r="A25" s="19" t="s">
        <v>305</v>
      </c>
      <c r="B25" s="25" t="n">
        <v>34.207</v>
      </c>
      <c r="C25" s="25" t="n">
        <v>-84.14</v>
      </c>
      <c r="D25" s="20" t="n">
        <f aca="false">IF(AND($B25=$C$4,$C25=$D$4),0,MAX(0.25,Assumptions!$B$17+Assumptions!$B$18*3958.8*ACOS(MIN(1,SIN(RADIANS($B25))*SIN(RADIANS($C$4))+COS(RADIANS($B25))*COS(RADIANS($C$4))*COS(RADIANS($D$4-$C25))))))</f>
        <v>1.34940019448378</v>
      </c>
      <c r="E25" s="20" t="n">
        <f aca="false">IF(AND($B25=$C$5,$C25=$D$5),0,MAX(0.25,Assumptions!$B$17+Assumptions!$B$18*3958.8*ACOS(MIN(1,SIN(RADIANS($B25))*SIN(RADIANS($C$5))+COS(RADIANS($B25))*COS(RADIANS($C$5))*COS(RADIANS($D$5-$C25))))))</f>
        <v>0.577603222242459</v>
      </c>
      <c r="F25" s="20" t="n">
        <f aca="false">IF(AND($B25=$C$6,$C25=$D$6),0,MAX(0.25,Assumptions!$B$17+Assumptions!$B$18*3958.8*ACOS(MIN(1,SIN(RADIANS($B25))*SIN(RADIANS($C$6))+COS(RADIANS($B25))*COS(RADIANS($C$6))*COS(RADIANS($D$6-$C25))))))</f>
        <v>0.582934575940957</v>
      </c>
      <c r="G25" s="20" t="n">
        <f aca="false">IF(AND($B25=$C$7,$C25=$D$7),0,MAX(0.25,Assumptions!$B$17+Assumptions!$B$18*3958.8*ACOS(MIN(1,SIN(RADIANS($B25))*SIN(RADIANS($C$7))+COS(RADIANS($B25))*COS(RADIANS($C$7))*COS(RADIANS($D$7-$C25))))))</f>
        <v>3.55695815975309</v>
      </c>
      <c r="H25" s="20" t="n">
        <f aca="false">IF(AND($B25=$C$8,$C25=$D$8),0,MAX(0.25,Assumptions!$B$17+Assumptions!$B$18*3958.8*ACOS(MIN(1,SIN(RADIANS($B25))*SIN(RADIANS($C$8))+COS(RADIANS($B25))*COS(RADIANS($C$8))*COS(RADIANS($D$8-$C25))))))</f>
        <v>1.08748539336027</v>
      </c>
      <c r="I25" s="20" t="n">
        <f aca="false">IF(AND($B25=$C$9,$C25=$D$9),0,MAX(0.25,Assumptions!$B$17+Assumptions!$B$18*3958.8*ACOS(MIN(1,SIN(RADIANS($B25))*SIN(RADIANS($C$9))+COS(RADIANS($B25))*COS(RADIANS($C$9))*COS(RADIANS($D$9-$C25))))))</f>
        <v>2.03855808931949</v>
      </c>
    </row>
    <row r="26" customFormat="false" ht="15" hidden="false" customHeight="false" outlineLevel="0" collapsed="false">
      <c r="A26" s="19" t="s">
        <v>377</v>
      </c>
      <c r="B26" s="25" t="n">
        <v>33.989</v>
      </c>
      <c r="C26" s="25" t="n">
        <v>-83.898</v>
      </c>
      <c r="D26" s="20" t="n">
        <f aca="false">IF(AND($B26=$C$4,$C26=$D$4),0,MAX(0.25,Assumptions!$B$17+Assumptions!$B$18*3958.8*ACOS(MIN(1,SIN(RADIANS($B26))*SIN(RADIANS($C$4))+COS(RADIANS($B26))*COS(RADIANS($C$4))*COS(RADIANS($D$4-$C26))))))</f>
        <v>1.72191752293694</v>
      </c>
      <c r="E26" s="20" t="n">
        <f aca="false">IF(AND($B26=$C$5,$C26=$D$5),0,MAX(0.25,Assumptions!$B$17+Assumptions!$B$18*3958.8*ACOS(MIN(1,SIN(RADIANS($B26))*SIN(RADIANS($C$5))+COS(RADIANS($B26))*COS(RADIANS($C$5))*COS(RADIANS($D$5-$C26))))))</f>
        <v>0.626259761645184</v>
      </c>
      <c r="F26" s="20" t="n">
        <f aca="false">IF(AND($B26=$C$6,$C26=$D$6),0,MAX(0.25,Assumptions!$B$17+Assumptions!$B$18*3958.8*ACOS(MIN(1,SIN(RADIANS($B26))*SIN(RADIANS($C$6))+COS(RADIANS($B26))*COS(RADIANS($C$6))*COS(RADIANS($D$6-$C26))))))</f>
        <v>0.330655283057661</v>
      </c>
      <c r="G26" s="20" t="n">
        <f aca="false">IF(AND($B26=$C$7,$C26=$D$7),0,MAX(0.25,Assumptions!$B$17+Assumptions!$B$18*3958.8*ACOS(MIN(1,SIN(RADIANS($B26))*SIN(RADIANS($C$7))+COS(RADIANS($B26))*COS(RADIANS($C$7))*COS(RADIANS($D$7-$C26))))))</f>
        <v>3.29314708503831</v>
      </c>
      <c r="H26" s="20" t="n">
        <f aca="false">IF(AND($B26=$C$8,$C26=$D$8),0,MAX(0.25,Assumptions!$B$17+Assumptions!$B$18*3958.8*ACOS(MIN(1,SIN(RADIANS($B26))*SIN(RADIANS($C$8))+COS(RADIANS($B26))*COS(RADIANS($C$8))*COS(RADIANS($D$8-$C26))))))</f>
        <v>1.16959538381667</v>
      </c>
      <c r="I26" s="20" t="n">
        <f aca="false">IF(AND($B26=$C$9,$C26=$D$9),0,MAX(0.25,Assumptions!$B$17+Assumptions!$B$18*3958.8*ACOS(MIN(1,SIN(RADIANS($B26))*SIN(RADIANS($C$9))+COS(RADIANS($B26))*COS(RADIANS($C$9))*COS(RADIANS($D$9-$C26))))))</f>
        <v>1.70817739690116</v>
      </c>
    </row>
    <row r="27" customFormat="false" ht="15" hidden="false" customHeight="false" outlineLevel="0" collapsed="false">
      <c r="A27" s="19" t="s">
        <v>70</v>
      </c>
      <c r="B27" s="25" t="n">
        <v>34.77</v>
      </c>
      <c r="C27" s="25" t="n">
        <v>-84.97</v>
      </c>
      <c r="D27" s="20" t="n">
        <f aca="false">IF(AND($B27=$C$4,$C27=$D$4),0,MAX(0.25,Assumptions!$B$17+Assumptions!$B$18*3958.8*ACOS(MIN(1,SIN(RADIANS($B27))*SIN(RADIANS($C$4))+COS(RADIANS($B27))*COS(RADIANS($C$4))*COS(RADIANS($D$4-$C27))))))</f>
        <v>0</v>
      </c>
      <c r="E27" s="20" t="n">
        <f aca="false">IF(AND($B27=$C$5,$C27=$D$5),0,MAX(0.25,Assumptions!$B$17+Assumptions!$B$18*3958.8*ACOS(MIN(1,SIN(RADIANS($B27))*SIN(RADIANS($C$5))+COS(RADIANS($B27))*COS(RADIANS($C$5))*COS(RADIANS($D$5-$C27))))))</f>
        <v>1.56404767681517</v>
      </c>
      <c r="F27" s="20" t="n">
        <f aca="false">IF(AND($B27=$C$6,$C27=$D$6),0,MAX(0.25,Assumptions!$B$17+Assumptions!$B$18*3958.8*ACOS(MIN(1,SIN(RADIANS($B27))*SIN(RADIANS($C$6))+COS(RADIANS($B27))*COS(RADIANS($C$6))*COS(RADIANS($D$6-$C27))))))</f>
        <v>1.68220890213356</v>
      </c>
      <c r="G27" s="20" t="n">
        <f aca="false">IF(AND($B27=$C$7,$C27=$D$7),0,MAX(0.25,Assumptions!$B$17+Assumptions!$B$18*3958.8*ACOS(MIN(1,SIN(RADIANS($B27))*SIN(RADIANS($C$7))+COS(RADIANS($B27))*COS(RADIANS($C$7))*COS(RADIANS($D$7-$C27))))))</f>
        <v>4.3609642399847</v>
      </c>
      <c r="H27" s="20" t="n">
        <f aca="false">IF(AND($B27=$C$8,$C27=$D$8),0,MAX(0.25,Assumptions!$B$17+Assumptions!$B$18*3958.8*ACOS(MIN(1,SIN(RADIANS($B27))*SIN(RADIANS($C$8))+COS(RADIANS($B27))*COS(RADIANS($C$8))*COS(RADIANS($D$8-$C27))))))</f>
        <v>1.53879658332125</v>
      </c>
      <c r="I27" s="20" t="n">
        <f aca="false">IF(AND($B27=$C$9,$C27=$D$9),0,MAX(0.25,Assumptions!$B$17+Assumptions!$B$18*3958.8*ACOS(MIN(1,SIN(RADIANS($B27))*SIN(RADIANS($C$9))+COS(RADIANS($B27))*COS(RADIANS($C$9))*COS(RADIANS($D$9-$C27))))))</f>
        <v>3.04701265676911</v>
      </c>
    </row>
    <row r="28" customFormat="false" ht="15" hidden="false" customHeight="false" outlineLevel="0" collapsed="false">
      <c r="A28" s="19" t="s">
        <v>372</v>
      </c>
      <c r="B28" s="25" t="n">
        <v>34.421</v>
      </c>
      <c r="C28" s="25" t="n">
        <v>-84.119</v>
      </c>
      <c r="D28" s="20" t="n">
        <f aca="false">IF(AND($B28=$C$4,$C28=$D$4),0,MAX(0.25,Assumptions!$B$17+Assumptions!$B$18*3958.8*ACOS(MIN(1,SIN(RADIANS($B28))*SIN(RADIANS($C$4))+COS(RADIANS($B28))*COS(RADIANS($C$4))*COS(RADIANS($D$4-$C28))))))</f>
        <v>1.21851521096693</v>
      </c>
      <c r="E28" s="20" t="n">
        <f aca="false">IF(AND($B28=$C$5,$C28=$D$5),0,MAX(0.25,Assumptions!$B$17+Assumptions!$B$18*3958.8*ACOS(MIN(1,SIN(RADIANS($B28))*SIN(RADIANS($C$5))+COS(RADIANS($B28))*COS(RADIANS($C$5))*COS(RADIANS($D$5-$C28))))))</f>
        <v>0.572832469278775</v>
      </c>
      <c r="F28" s="20" t="n">
        <f aca="false">IF(AND($B28=$C$6,$C28=$D$6),0,MAX(0.25,Assumptions!$B$17+Assumptions!$B$18*3958.8*ACOS(MIN(1,SIN(RADIANS($B28))*SIN(RADIANS($C$6))+COS(RADIANS($B28))*COS(RADIANS($C$6))*COS(RADIANS($D$6-$C28))))))</f>
        <v>0.831999506977127</v>
      </c>
      <c r="G28" s="20" t="n">
        <f aca="false">IF(AND($B28=$C$7,$C28=$D$7),0,MAX(0.25,Assumptions!$B$17+Assumptions!$B$18*3958.8*ACOS(MIN(1,SIN(RADIANS($B28))*SIN(RADIANS($C$7))+COS(RADIANS($B28))*COS(RADIANS($C$7))*COS(RADIANS($D$7-$C28))))))</f>
        <v>3.82815895108048</v>
      </c>
      <c r="H28" s="20" t="n">
        <f aca="false">IF(AND($B28=$C$8,$C28=$D$8),0,MAX(0.25,Assumptions!$B$17+Assumptions!$B$18*3958.8*ACOS(MIN(1,SIN(RADIANS($B28))*SIN(RADIANS($C$8))+COS(RADIANS($B28))*COS(RADIANS($C$8))*COS(RADIANS($D$8-$C28))))))</f>
        <v>1.30151159953205</v>
      </c>
      <c r="I28" s="20" t="n">
        <f aca="false">IF(AND($B28=$C$9,$C28=$D$9),0,MAX(0.25,Assumptions!$B$17+Assumptions!$B$18*3958.8*ACOS(MIN(1,SIN(RADIANS($B28))*SIN(RADIANS($C$9))+COS(RADIANS($B28))*COS(RADIANS($C$9))*COS(RADIANS($D$9-$C28))))))</f>
        <v>2.29319906597961</v>
      </c>
    </row>
    <row r="29" customFormat="false" ht="15" hidden="false" customHeight="false" outlineLevel="0" collapsed="false">
      <c r="A29" s="19" t="s">
        <v>329</v>
      </c>
      <c r="B29" s="25" t="n">
        <v>33.775</v>
      </c>
      <c r="C29" s="25" t="n">
        <v>-84.296</v>
      </c>
      <c r="D29" s="20" t="n">
        <f aca="false">IF(AND($B29=$C$4,$C29=$D$4),0,MAX(0.25,Assumptions!$B$17+Assumptions!$B$18*3958.8*ACOS(MIN(1,SIN(RADIANS($B29))*SIN(RADIANS($C$4))+COS(RADIANS($B29))*COS(RADIANS($C$4))*COS(RADIANS($D$4-$C29))))))</f>
        <v>1.67145034800839</v>
      </c>
      <c r="E29" s="20" t="n">
        <f aca="false">IF(AND($B29=$C$5,$C29=$D$5),0,MAX(0.25,Assumptions!$B$17+Assumptions!$B$18*3958.8*ACOS(MIN(1,SIN(RADIANS($B29))*SIN(RADIANS($C$5))+COS(RADIANS($B29))*COS(RADIANS($C$5))*COS(RADIANS($D$5-$C29))))))</f>
        <v>1.05442363404673</v>
      </c>
      <c r="F29" s="20" t="n">
        <f aca="false">IF(AND($B29=$C$6,$C29=$D$6),0,MAX(0.25,Assumptions!$B$17+Assumptions!$B$18*3958.8*ACOS(MIN(1,SIN(RADIANS($B29))*SIN(RADIANS($C$6))+COS(RADIANS($B29))*COS(RADIANS($C$6))*COS(RADIANS($D$6-$C29))))))</f>
        <v>0.624114131351961</v>
      </c>
      <c r="G29" s="20" t="n">
        <f aca="false">IF(AND($B29=$C$7,$C29=$D$7),0,MAX(0.25,Assumptions!$B$17+Assumptions!$B$18*3958.8*ACOS(MIN(1,SIN(RADIANS($B29))*SIN(RADIANS($C$7))+COS(RADIANS($B29))*COS(RADIANS($C$7))*COS(RADIANS($D$7-$C29))))))</f>
        <v>3.0137876459383</v>
      </c>
      <c r="H29" s="20" t="n">
        <f aca="false">IF(AND($B29=$C$8,$C29=$D$8),0,MAX(0.25,Assumptions!$B$17+Assumptions!$B$18*3958.8*ACOS(MIN(1,SIN(RADIANS($B29))*SIN(RADIANS($C$8))+COS(RADIANS($B29))*COS(RADIANS($C$8))*COS(RADIANS($D$8-$C29))))))</f>
        <v>0.703125846963862</v>
      </c>
      <c r="I29" s="20" t="n">
        <f aca="false">IF(AND($B29=$C$9,$C29=$D$9),0,MAX(0.25,Assumptions!$B$17+Assumptions!$B$18*3958.8*ACOS(MIN(1,SIN(RADIANS($B29))*SIN(RADIANS($C$9))+COS(RADIANS($B29))*COS(RADIANS($C$9))*COS(RADIANS($D$9-$C29))))))</f>
        <v>1.60322940168758</v>
      </c>
    </row>
    <row r="30" customFormat="false" ht="15" hidden="false" customHeight="false" outlineLevel="0" collapsed="false">
      <c r="A30" s="19" t="s">
        <v>74</v>
      </c>
      <c r="B30" s="25" t="n">
        <v>33.751</v>
      </c>
      <c r="C30" s="25" t="n">
        <v>-84.747</v>
      </c>
      <c r="D30" s="20" t="n">
        <f aca="false">IF(AND($B30=$C$4,$C30=$D$4),0,MAX(0.25,Assumptions!$B$17+Assumptions!$B$18*3958.8*ACOS(MIN(1,SIN(RADIANS($B30))*SIN(RADIANS($C$4))+COS(RADIANS($B30))*COS(RADIANS($C$4))*COS(RADIANS($D$4-$C30))))))</f>
        <v>1.53879658332125</v>
      </c>
      <c r="E30" s="20" t="n">
        <f aca="false">IF(AND($B30=$C$5,$C30=$D$5),0,MAX(0.25,Assumptions!$B$17+Assumptions!$B$18*3958.8*ACOS(MIN(1,SIN(RADIANS($B30))*SIN(RADIANS($C$5))+COS(RADIANS($B30))*COS(RADIANS($C$5))*COS(RADIANS($D$5-$C30))))))</f>
        <v>1.41833734846755</v>
      </c>
      <c r="F30" s="20" t="n">
        <f aca="false">IF(AND($B30=$C$6,$C30=$D$6),0,MAX(0.25,Assumptions!$B$17+Assumptions!$B$18*3958.8*ACOS(MIN(1,SIN(RADIANS($B30))*SIN(RADIANS($C$6))+COS(RADIANS($B30))*COS(RADIANS($C$6))*COS(RADIANS($D$6-$C30))))))</f>
        <v>1.06675664711398</v>
      </c>
      <c r="G30" s="20" t="n">
        <f aca="false">IF(AND($B30=$C$7,$C30=$D$7),0,MAX(0.25,Assumptions!$B$17+Assumptions!$B$18*3958.8*ACOS(MIN(1,SIN(RADIANS($B30))*SIN(RADIANS($C$7))+COS(RADIANS($B30))*COS(RADIANS($C$7))*COS(RADIANS($D$7-$C30))))))</f>
        <v>3.05058889168361</v>
      </c>
      <c r="H30" s="20" t="n">
        <f aca="false">IF(AND($B30=$C$8,$C30=$D$8),0,MAX(0.25,Assumptions!$B$17+Assumptions!$B$18*3958.8*ACOS(MIN(1,SIN(RADIANS($B30))*SIN(RADIANS($C$8))+COS(RADIANS($B30))*COS(RADIANS($C$8))*COS(RADIANS($D$8-$C30))))))</f>
        <v>0</v>
      </c>
      <c r="I30" s="20" t="n">
        <f aca="false">IF(AND($B30=$C$9,$C30=$D$9),0,MAX(0.25,Assumptions!$B$17+Assumptions!$B$18*3958.8*ACOS(MIN(1,SIN(RADIANS($B30))*SIN(RADIANS($C$9))+COS(RADIANS($B30))*COS(RADIANS($C$9))*COS(RADIANS($D$9-$C30))))))</f>
        <v>1.87696184586436</v>
      </c>
    </row>
    <row r="31" customFormat="false" ht="15" hidden="false" customHeight="false" outlineLevel="0" collapsed="false">
      <c r="A31" s="19" t="s">
        <v>386</v>
      </c>
      <c r="B31" s="25" t="n">
        <v>34.003</v>
      </c>
      <c r="C31" s="25" t="n">
        <v>-84.145</v>
      </c>
      <c r="D31" s="20" t="n">
        <f aca="false">IF(AND($B31=$C$4,$C31=$D$4),0,MAX(0.25,Assumptions!$B$17+Assumptions!$B$18*3958.8*ACOS(MIN(1,SIN(RADIANS($B31))*SIN(RADIANS($C$4))+COS(RADIANS($B31))*COS(RADIANS($C$4))*COS(RADIANS($D$4-$C31))))))</f>
        <v>1.52618108105425</v>
      </c>
      <c r="E31" s="20" t="n">
        <f aca="false">IF(AND($B31=$C$5,$C31=$D$5),0,MAX(0.25,Assumptions!$B$17+Assumptions!$B$18*3958.8*ACOS(MIN(1,SIN(RADIANS($B31))*SIN(RADIANS($C$5))+COS(RADIANS($B31))*COS(RADIANS($C$5))*COS(RADIANS($D$5-$C31))))))</f>
        <v>0.730074127296325</v>
      </c>
      <c r="F31" s="20" t="n">
        <f aca="false">IF(AND($B31=$C$6,$C31=$D$6),0,MAX(0.25,Assumptions!$B$17+Assumptions!$B$18*3958.8*ACOS(MIN(1,SIN(RADIANS($B31))*SIN(RADIANS($C$6))+COS(RADIANS($B31))*COS(RADIANS($C$6))*COS(RADIANS($D$6-$C31))))))</f>
        <v>0.402600942398191</v>
      </c>
      <c r="G31" s="20" t="n">
        <f aca="false">IF(AND($B31=$C$7,$C31=$D$7),0,MAX(0.25,Assumptions!$B$17+Assumptions!$B$18*3958.8*ACOS(MIN(1,SIN(RADIANS($B31))*SIN(RADIANS($C$7))+COS(RADIANS($B31))*COS(RADIANS($C$7))*COS(RADIANS($D$7-$C31))))))</f>
        <v>3.29857209304212</v>
      </c>
      <c r="H31" s="20" t="n">
        <f aca="false">IF(AND($B31=$C$8,$C31=$D$8),0,MAX(0.25,Assumptions!$B$17+Assumptions!$B$18*3958.8*ACOS(MIN(1,SIN(RADIANS($B31))*SIN(RADIANS($C$8))+COS(RADIANS($B31))*COS(RADIANS($C$8))*COS(RADIANS($D$8-$C31))))))</f>
        <v>0.936202849851391</v>
      </c>
      <c r="I31" s="20" t="n">
        <f aca="false">IF(AND($B31=$C$9,$C31=$D$9),0,MAX(0.25,Assumptions!$B$17+Assumptions!$B$18*3958.8*ACOS(MIN(1,SIN(RADIANS($B31))*SIN(RADIANS($C$9))+COS(RADIANS($B31))*COS(RADIANS($C$9))*COS(RADIANS($D$9-$C31))))))</f>
        <v>1.79568763875144</v>
      </c>
    </row>
    <row r="32" customFormat="false" ht="15" hidden="false" customHeight="false" outlineLevel="0" collapsed="false">
      <c r="A32" s="19" t="s">
        <v>324</v>
      </c>
      <c r="B32" s="25" t="n">
        <v>33.946</v>
      </c>
      <c r="C32" s="25" t="n">
        <v>-84.334</v>
      </c>
      <c r="D32" s="20" t="n">
        <f aca="false">IF(AND($B32=$C$4,$C32=$D$4),0,MAX(0.25,Assumptions!$B$17+Assumptions!$B$18*3958.8*ACOS(MIN(1,SIN(RADIANS($B32))*SIN(RADIANS($C$4))+COS(RADIANS($B32))*COS(RADIANS($C$4))*COS(RADIANS($D$4-$C32))))))</f>
        <v>1.46472817436934</v>
      </c>
      <c r="E32" s="20" t="n">
        <f aca="false">IF(AND($B32=$C$5,$C32=$D$5),0,MAX(0.25,Assumptions!$B$17+Assumptions!$B$18*3958.8*ACOS(MIN(1,SIN(RADIANS($B32))*SIN(RADIANS($C$5))+COS(RADIANS($B32))*COS(RADIANS($C$5))*COS(RADIANS($D$5-$C32))))))</f>
        <v>0.923475864269064</v>
      </c>
      <c r="F32" s="20" t="n">
        <f aca="false">IF(AND($B32=$C$6,$C32=$D$6),0,MAX(0.25,Assumptions!$B$17+Assumptions!$B$18*3958.8*ACOS(MIN(1,SIN(RADIANS($B32))*SIN(RADIANS($C$6))+COS(RADIANS($B32))*COS(RADIANS($C$6))*COS(RADIANS($D$6-$C32))))))</f>
        <v>0.591020044050131</v>
      </c>
      <c r="G32" s="20" t="n">
        <f aca="false">IF(AND($B32=$C$7,$C32=$D$7),0,MAX(0.25,Assumptions!$B$17+Assumptions!$B$18*3958.8*ACOS(MIN(1,SIN(RADIANS($B32))*SIN(RADIANS($C$7))+COS(RADIANS($B32))*COS(RADIANS($C$7))*COS(RADIANS($D$7-$C32))))))</f>
        <v>3.2323433436338</v>
      </c>
      <c r="H32" s="20" t="n">
        <f aca="false">IF(AND($B32=$C$8,$C32=$D$8),0,MAX(0.25,Assumptions!$B$17+Assumptions!$B$18*3958.8*ACOS(MIN(1,SIN(RADIANS($B32))*SIN(RADIANS($C$8))+COS(RADIANS($B32))*COS(RADIANS($C$8))*COS(RADIANS($D$8-$C32))))))</f>
        <v>0.727003902707199</v>
      </c>
      <c r="I32" s="20" t="n">
        <f aca="false">IF(AND($B32=$C$9,$C32=$D$9),0,MAX(0.25,Assumptions!$B$17+Assumptions!$B$18*3958.8*ACOS(MIN(1,SIN(RADIANS($B32))*SIN(RADIANS($C$9))+COS(RADIANS($B32))*COS(RADIANS($C$9))*COS(RADIANS($D$9-$C32))))))</f>
        <v>1.81144175308443</v>
      </c>
    </row>
    <row r="33" customFormat="false" ht="15" hidden="false" customHeight="false" outlineLevel="0" collapsed="false">
      <c r="A33" s="19" t="s">
        <v>345</v>
      </c>
      <c r="B33" s="25" t="n">
        <v>33.449</v>
      </c>
      <c r="C33" s="25" t="n">
        <v>-84.455</v>
      </c>
      <c r="D33" s="20" t="n">
        <f aca="false">IF(AND($B33=$C$4,$C33=$D$4),0,MAX(0.25,Assumptions!$B$17+Assumptions!$B$18*3958.8*ACOS(MIN(1,SIN(RADIANS($B33))*SIN(RADIANS($C$4))+COS(RADIANS($B33))*COS(RADIANS($C$4))*COS(RADIANS($D$4-$C33))))))</f>
        <v>1.9853302821666</v>
      </c>
      <c r="E33" s="20" t="n">
        <f aca="false">IF(AND($B33=$C$5,$C33=$D$5),0,MAX(0.25,Assumptions!$B$17+Assumptions!$B$18*3958.8*ACOS(MIN(1,SIN(RADIANS($B33))*SIN(RADIANS($C$5))+COS(RADIANS($B33))*COS(RADIANS($C$5))*COS(RADIANS($D$5-$C33))))))</f>
        <v>1.4907896120049</v>
      </c>
      <c r="F33" s="20" t="n">
        <f aca="false">IF(AND($B33=$C$6,$C33=$D$6),0,MAX(0.25,Assumptions!$B$17+Assumptions!$B$18*3958.8*ACOS(MIN(1,SIN(RADIANS($B33))*SIN(RADIANS($C$6))+COS(RADIANS($B33))*COS(RADIANS($C$6))*COS(RADIANS($D$6-$C33))))))</f>
        <v>1.03625953036845</v>
      </c>
      <c r="G33" s="20" t="n">
        <f aca="false">IF(AND($B33=$C$7,$C33=$D$7),0,MAX(0.25,Assumptions!$B$17+Assumptions!$B$18*3958.8*ACOS(MIN(1,SIN(RADIANS($B33))*SIN(RADIANS($C$7))+COS(RADIANS($B33))*COS(RADIANS($C$7))*COS(RADIANS($D$7-$C33))))))</f>
        <v>2.61832706837278</v>
      </c>
      <c r="H33" s="20" t="n">
        <f aca="false">IF(AND($B33=$C$8,$C33=$D$8),0,MAX(0.25,Assumptions!$B$17+Assumptions!$B$18*3958.8*ACOS(MIN(1,SIN(RADIANS($B33))*SIN(RADIANS($C$8))+COS(RADIANS($B33))*COS(RADIANS($C$8))*COS(RADIANS($D$8-$C33))))))</f>
        <v>0.718393374273796</v>
      </c>
      <c r="I33" s="20" t="n">
        <f aca="false">IF(AND($B33=$C$9,$C33=$D$9),0,MAX(0.25,Assumptions!$B$17+Assumptions!$B$18*3958.8*ACOS(MIN(1,SIN(RADIANS($B33))*SIN(RADIANS($C$9))+COS(RADIANS($B33))*COS(RADIANS($C$9))*COS(RADIANS($D$9-$C33))))))</f>
        <v>1.39116351881451</v>
      </c>
    </row>
    <row r="34" customFormat="false" ht="15" hidden="false" customHeight="false" outlineLevel="0" collapsed="false">
      <c r="A34" s="19" t="s">
        <v>349</v>
      </c>
      <c r="B34" s="25" t="n">
        <v>34.185</v>
      </c>
      <c r="C34" s="25" t="n">
        <v>-83.925</v>
      </c>
      <c r="D34" s="20" t="n">
        <f aca="false">IF(AND($B34=$C$4,$C34=$D$4),0,MAX(0.25,Assumptions!$B$17+Assumptions!$B$18*3958.8*ACOS(MIN(1,SIN(RADIANS($B34))*SIN(RADIANS($C$4))+COS(RADIANS($B34))*COS(RADIANS($C$4))*COS(RADIANS($D$4-$C34))))))</f>
        <v>1.54609084317722</v>
      </c>
      <c r="E34" s="20" t="n">
        <f aca="false">IF(AND($B34=$C$5,$C34=$D$5),0,MAX(0.25,Assumptions!$B$17+Assumptions!$B$18*3958.8*ACOS(MIN(1,SIN(RADIANS($B34))*SIN(RADIANS($C$5))+COS(RADIANS($B34))*COS(RADIANS($C$5))*COS(RADIANS($D$5-$C34))))))</f>
        <v>0.405242474177297</v>
      </c>
      <c r="F34" s="20" t="n">
        <f aca="false">IF(AND($B34=$C$6,$C34=$D$6),0,MAX(0.25,Assumptions!$B$17+Assumptions!$B$18*3958.8*ACOS(MIN(1,SIN(RADIANS($B34))*SIN(RADIANS($C$6))+COS(RADIANS($B34))*COS(RADIANS($C$6))*COS(RADIANS($D$6-$C34))))))</f>
        <v>0.524762837773509</v>
      </c>
      <c r="G34" s="20" t="n">
        <f aca="false">IF(AND($B34=$C$7,$C34=$D$7),0,MAX(0.25,Assumptions!$B$17+Assumptions!$B$18*3958.8*ACOS(MIN(1,SIN(RADIANS($B34))*SIN(RADIANS($C$7))+COS(RADIANS($B34))*COS(RADIANS($C$7))*COS(RADIANS($D$7-$C34))))))</f>
        <v>3.53817684546211</v>
      </c>
      <c r="H34" s="20" t="n">
        <f aca="false">IF(AND($B34=$C$8,$C34=$D$8),0,MAX(0.25,Assumptions!$B$17+Assumptions!$B$18*3958.8*ACOS(MIN(1,SIN(RADIANS($B34))*SIN(RADIANS($C$8))+COS(RADIANS($B34))*COS(RADIANS($C$8))*COS(RADIANS($D$8-$C34))))))</f>
        <v>1.25081107021675</v>
      </c>
      <c r="I34" s="20" t="n">
        <f aca="false">IF(AND($B34=$C$9,$C34=$D$9),0,MAX(0.25,Assumptions!$B$17+Assumptions!$B$18*3958.8*ACOS(MIN(1,SIN(RADIANS($B34))*SIN(RADIANS($C$9))+COS(RADIANS($B34))*COS(RADIANS($C$9))*COS(RADIANS($D$9-$C34))))))</f>
        <v>1.95735599591889</v>
      </c>
    </row>
    <row r="35" customFormat="false" ht="15" hidden="false" customHeight="false" outlineLevel="0" collapsed="false">
      <c r="A35" s="19" t="s">
        <v>389</v>
      </c>
      <c r="B35" s="25" t="n">
        <v>33.894</v>
      </c>
      <c r="C35" s="25" t="n">
        <v>-83.956</v>
      </c>
      <c r="D35" s="20" t="n">
        <f aca="false">IF(AND($B35=$C$4,$C35=$D$4),0,MAX(0.25,Assumptions!$B$17+Assumptions!$B$18*3958.8*ACOS(MIN(1,SIN(RADIANS($B35))*SIN(RADIANS($C$4))+COS(RADIANS($B35))*COS(RADIANS($C$4))*COS(RADIANS($D$4-$C35))))))</f>
        <v>1.76205078366093</v>
      </c>
      <c r="E35" s="20" t="n">
        <f aca="false">IF(AND($B35=$C$5,$C35=$D$5),0,MAX(0.25,Assumptions!$B$17+Assumptions!$B$18*3958.8*ACOS(MIN(1,SIN(RADIANS($B35))*SIN(RADIANS($C$5))+COS(RADIANS($B35))*COS(RADIANS($C$5))*COS(RADIANS($D$5-$C35))))))</f>
        <v>0.757361517843805</v>
      </c>
      <c r="F35" s="20" t="n">
        <f aca="false">IF(AND($B35=$C$6,$C35=$D$6),0,MAX(0.25,Assumptions!$B$17+Assumptions!$B$18*3958.8*ACOS(MIN(1,SIN(RADIANS($B35))*SIN(RADIANS($C$6))+COS(RADIANS($B35))*COS(RADIANS($C$6))*COS(RADIANS($D$6-$C35))))))</f>
        <v>0.31272073394118</v>
      </c>
      <c r="G35" s="20" t="n">
        <f aca="false">IF(AND($B35=$C$7,$C35=$D$7),0,MAX(0.25,Assumptions!$B$17+Assumptions!$B$18*3958.8*ACOS(MIN(1,SIN(RADIANS($B35))*SIN(RADIANS($C$7))+COS(RADIANS($B35))*COS(RADIANS($C$7))*COS(RADIANS($D$7-$C35))))))</f>
        <v>3.168227926409</v>
      </c>
      <c r="H35" s="20" t="n">
        <f aca="false">IF(AND($B35=$C$8,$C35=$D$8),0,MAX(0.25,Assumptions!$B$17+Assumptions!$B$18*3958.8*ACOS(MIN(1,SIN(RADIANS($B35))*SIN(RADIANS($C$8))+COS(RADIANS($B35))*COS(RADIANS($C$8))*COS(RADIANS($D$8-$C35))))))</f>
        <v>1.07903433420994</v>
      </c>
      <c r="I35" s="20" t="n">
        <f aca="false">IF(AND($B35=$C$9,$C35=$D$9),0,MAX(0.25,Assumptions!$B$17+Assumptions!$B$18*3958.8*ACOS(MIN(1,SIN(RADIANS($B35))*SIN(RADIANS($C$9))+COS(RADIANS($B35))*COS(RADIANS($C$9))*COS(RADIANS($D$9-$C35))))))</f>
        <v>1.60424491621448</v>
      </c>
    </row>
    <row r="36" customFormat="false" ht="15" hidden="false" customHeight="false" outlineLevel="0" collapsed="false">
      <c r="A36" s="19" t="s">
        <v>368</v>
      </c>
      <c r="B36" s="25" t="n">
        <v>34.096</v>
      </c>
      <c r="C36" s="25" t="n">
        <v>-83.761</v>
      </c>
      <c r="D36" s="20" t="n">
        <f aca="false">IF(AND($B36=$C$4,$C36=$D$4),0,MAX(0.25,Assumptions!$B$17+Assumptions!$B$18*3958.8*ACOS(MIN(1,SIN(RADIANS($B36))*SIN(RADIANS($C$4))+COS(RADIANS($B36))*COS(RADIANS($C$4))*COS(RADIANS($D$4-$C36))))))</f>
        <v>1.75161568569538</v>
      </c>
      <c r="E36" s="20" t="n">
        <f aca="false">IF(AND($B36=$C$5,$C36=$D$5),0,MAX(0.25,Assumptions!$B$17+Assumptions!$B$18*3958.8*ACOS(MIN(1,SIN(RADIANS($B36))*SIN(RADIANS($C$5))+COS(RADIANS($B36))*COS(RADIANS($C$5))*COS(RADIANS($D$5-$C36))))))</f>
        <v>0.491506801475973</v>
      </c>
      <c r="F36" s="20" t="n">
        <f aca="false">IF(AND($B36=$C$6,$C36=$D$6),0,MAX(0.25,Assumptions!$B$17+Assumptions!$B$18*3958.8*ACOS(MIN(1,SIN(RADIANS($B36))*SIN(RADIANS($C$6))+COS(RADIANS($B36))*COS(RADIANS($C$6))*COS(RADIANS($D$6-$C36))))))</f>
        <v>0.524303985167076</v>
      </c>
      <c r="G36" s="20" t="n">
        <f aca="false">IF(AND($B36=$C$7,$C36=$D$7),0,MAX(0.25,Assumptions!$B$17+Assumptions!$B$18*3958.8*ACOS(MIN(1,SIN(RADIANS($B36))*SIN(RADIANS($C$7))+COS(RADIANS($B36))*COS(RADIANS($C$7))*COS(RADIANS($D$7-$C36))))))</f>
        <v>3.44390546324476</v>
      </c>
      <c r="H36" s="20" t="n">
        <f aca="false">IF(AND($B36=$C$8,$C36=$D$8),0,MAX(0.25,Assumptions!$B$17+Assumptions!$B$18*3958.8*ACOS(MIN(1,SIN(RADIANS($B36))*SIN(RADIANS($C$8))+COS(RADIANS($B36))*COS(RADIANS($C$8))*COS(RADIANS($D$8-$C36))))))</f>
        <v>1.35185283753884</v>
      </c>
      <c r="I36" s="20" t="n">
        <f aca="false">IF(AND($B36=$C$9,$C36=$D$9),0,MAX(0.25,Assumptions!$B$17+Assumptions!$B$18*3958.8*ACOS(MIN(1,SIN(RADIANS($B36))*SIN(RADIANS($C$9))+COS(RADIANS($B36))*COS(RADIANS($C$9))*COS(RADIANS($D$9-$C36))))))</f>
        <v>1.82258270359105</v>
      </c>
    </row>
    <row r="37" customFormat="false" ht="15" hidden="false" customHeight="false" outlineLevel="0" collapsed="false">
      <c r="A37" s="19" t="s">
        <v>314</v>
      </c>
      <c r="B37" s="25" t="n">
        <v>34.117</v>
      </c>
      <c r="C37" s="25" t="n">
        <v>-83.572</v>
      </c>
      <c r="D37" s="20" t="n">
        <f aca="false">IF(AND($B37=$C$4,$C37=$D$4),0,MAX(0.25,Assumptions!$B$17+Assumptions!$B$18*3958.8*ACOS(MIN(1,SIN(RADIANS($B37))*SIN(RADIANS($C$4))+COS(RADIANS($B37))*COS(RADIANS($C$4))*COS(RADIANS($D$4-$C37))))))</f>
        <v>1.90537049367875</v>
      </c>
      <c r="E37" s="20" t="n">
        <f aca="false">IF(AND($B37=$C$5,$C37=$D$5),0,MAX(0.25,Assumptions!$B$17+Assumptions!$B$18*3958.8*ACOS(MIN(1,SIN(RADIANS($B37))*SIN(RADIANS($C$5))+COS(RADIANS($B37))*COS(RADIANS($C$5))*COS(RADIANS($D$5-$C37))))))</f>
        <v>0.576893510677239</v>
      </c>
      <c r="F37" s="20" t="n">
        <f aca="false">IF(AND($B37=$C$6,$C37=$D$6),0,MAX(0.25,Assumptions!$B$17+Assumptions!$B$18*3958.8*ACOS(MIN(1,SIN(RADIANS($B37))*SIN(RADIANS($C$6))+COS(RADIANS($B37))*COS(RADIANS($C$6))*COS(RADIANS($D$6-$C37))))))</f>
        <v>0.709168161850083</v>
      </c>
      <c r="G37" s="20" t="n">
        <f aca="false">IF(AND($B37=$C$7,$C37=$D$7),0,MAX(0.25,Assumptions!$B$17+Assumptions!$B$18*3958.8*ACOS(MIN(1,SIN(RADIANS($B37))*SIN(RADIANS($C$7))+COS(RADIANS($B37))*COS(RADIANS($C$7))*COS(RADIANS($D$7-$C37))))))</f>
        <v>3.5023946983393</v>
      </c>
      <c r="H37" s="20" t="n">
        <f aca="false">IF(AND($B37=$C$8,$C37=$D$8),0,MAX(0.25,Assumptions!$B$17+Assumptions!$B$18*3958.8*ACOS(MIN(1,SIN(RADIANS($B37))*SIN(RADIANS($C$8))+COS(RADIANS($B37))*COS(RADIANS($C$8))*COS(RADIANS($D$8-$C37))))))</f>
        <v>1.54610967860415</v>
      </c>
      <c r="I37" s="20" t="n">
        <f aca="false">IF(AND($B37=$C$9,$C37=$D$9),0,MAX(0.25,Assumptions!$B$17+Assumptions!$B$18*3958.8*ACOS(MIN(1,SIN(RADIANS($B37))*SIN(RADIANS($C$9))+COS(RADIANS($B37))*COS(RADIANS($C$9))*COS(RADIANS($D$9-$C37))))))</f>
        <v>1.8445896425255</v>
      </c>
    </row>
    <row r="38" customFormat="false" ht="15" hidden="false" customHeight="false" outlineLevel="0" collapsed="false">
      <c r="A38" s="19" t="s">
        <v>320</v>
      </c>
      <c r="B38" s="25" t="n">
        <v>34.029</v>
      </c>
      <c r="C38" s="25" t="n">
        <v>-84.198</v>
      </c>
      <c r="D38" s="20" t="n">
        <f aca="false">IF(AND($B38=$C$4,$C38=$D$4),0,MAX(0.25,Assumptions!$B$17+Assumptions!$B$18*3958.8*ACOS(MIN(1,SIN(RADIANS($B38))*SIN(RADIANS($C$4))+COS(RADIANS($B38))*COS(RADIANS($C$4))*COS(RADIANS($D$4-$C38))))))</f>
        <v>1.46485624398346</v>
      </c>
      <c r="E38" s="20" t="n">
        <f aca="false">IF(AND($B38=$C$5,$C38=$D$5),0,MAX(0.25,Assumptions!$B$17+Assumptions!$B$18*3958.8*ACOS(MIN(1,SIN(RADIANS($B38))*SIN(RADIANS($C$5))+COS(RADIANS($B38))*COS(RADIANS($C$5))*COS(RADIANS($D$5-$C38))))))</f>
        <v>0.746604853217544</v>
      </c>
      <c r="F38" s="20" t="n">
        <f aca="false">IF(AND($B38=$C$6,$C38=$D$6),0,MAX(0.25,Assumptions!$B$17+Assumptions!$B$18*3958.8*ACOS(MIN(1,SIN(RADIANS($B38))*SIN(RADIANS($C$6))+COS(RADIANS($B38))*COS(RADIANS($C$6))*COS(RADIANS($D$6-$C38))))))</f>
        <v>0.466410744628661</v>
      </c>
      <c r="G38" s="20" t="n">
        <f aca="false">IF(AND($B38=$C$7,$C38=$D$7),0,MAX(0.25,Assumptions!$B$17+Assumptions!$B$18*3958.8*ACOS(MIN(1,SIN(RADIANS($B38))*SIN(RADIANS($C$7))+COS(RADIANS($B38))*COS(RADIANS($C$7))*COS(RADIANS($D$7-$C38))))))</f>
        <v>3.33180049466271</v>
      </c>
      <c r="H38" s="20" t="n">
        <f aca="false">IF(AND($B38=$C$8,$C38=$D$8),0,MAX(0.25,Assumptions!$B$17+Assumptions!$B$18*3958.8*ACOS(MIN(1,SIN(RADIANS($B38))*SIN(RADIANS($C$8))+COS(RADIANS($B38))*COS(RADIANS($C$8))*COS(RADIANS($D$8-$C38))))))</f>
        <v>0.9033906092685</v>
      </c>
      <c r="I38" s="20" t="n">
        <f aca="false">IF(AND($B38=$C$9,$C38=$D$9),0,MAX(0.25,Assumptions!$B$17+Assumptions!$B$18*3958.8*ACOS(MIN(1,SIN(RADIANS($B38))*SIN(RADIANS($C$9))+COS(RADIANS($B38))*COS(RADIANS($C$9))*COS(RADIANS($D$9-$C38))))))</f>
        <v>1.84644501864025</v>
      </c>
    </row>
    <row r="39" customFormat="false" ht="15" hidden="false" customHeight="false" outlineLevel="0" collapsed="false">
      <c r="A39" s="19" t="s">
        <v>358</v>
      </c>
      <c r="B39" s="25" t="n">
        <v>30.8</v>
      </c>
      <c r="C39" s="25" t="n">
        <v>-81.69</v>
      </c>
      <c r="D39" s="20" t="n">
        <f aca="false">IF(AND($B39=$C$4,$C39=$D$4),0,MAX(0.25,Assumptions!$B$17+Assumptions!$B$18*3958.8*ACOS(MIN(1,SIN(RADIANS($B39))*SIN(RADIANS($C$4))+COS(RADIANS($B39))*COS(RADIANS($C$4))*COS(RADIANS($D$4-$C39))))))</f>
        <v>6.34820460522021</v>
      </c>
      <c r="E39" s="20" t="n">
        <f aca="false">IF(AND($B39=$C$5,$C39=$D$5),0,MAX(0.25,Assumptions!$B$17+Assumptions!$B$18*3958.8*ACOS(MIN(1,SIN(RADIANS($B39))*SIN(RADIANS($C$5))+COS(RADIANS($B39))*COS(RADIANS($C$5))*COS(RADIANS($D$5-$C39))))))</f>
        <v>5.20857072672482</v>
      </c>
      <c r="F39" s="20" t="n">
        <f aca="false">IF(AND($B39=$C$6,$C39=$D$6),0,MAX(0.25,Assumptions!$B$17+Assumptions!$B$18*3958.8*ACOS(MIN(1,SIN(RADIANS($B39))*SIN(RADIANS($C$6))+COS(RADIANS($B39))*COS(RADIANS($C$6))*COS(RADIANS($D$6-$C39))))))</f>
        <v>4.91924081652107</v>
      </c>
      <c r="G39" s="20" t="n">
        <f aca="false">IF(AND($B39=$C$7,$C39=$D$7),0,MAX(0.25,Assumptions!$B$17+Assumptions!$B$18*3958.8*ACOS(MIN(1,SIN(RADIANS($B39))*SIN(RADIANS($C$7))+COS(RADIANS($B39))*COS(RADIANS($C$7))*COS(RADIANS($D$7-$C39))))))</f>
        <v>3.07487381145879</v>
      </c>
      <c r="H39" s="20" t="n">
        <f aca="false">IF(AND($B39=$C$8,$C39=$D$8),0,MAX(0.25,Assumptions!$B$17+Assumptions!$B$18*3958.8*ACOS(MIN(1,SIN(RADIANS($B39))*SIN(RADIANS($C$8))+COS(RADIANS($B39))*COS(RADIANS($C$8))*COS(RADIANS($D$8-$C39))))))</f>
        <v>5.19499401231386</v>
      </c>
      <c r="I39" s="20" t="n">
        <f aca="false">IF(AND($B39=$C$9,$C39=$D$9),0,MAX(0.25,Assumptions!$B$17+Assumptions!$B$18*3958.8*ACOS(MIN(1,SIN(RADIANS($B39))*SIN(RADIANS($C$9))+COS(RADIANS($B39))*COS(RADIANS($C$9))*COS(RADIANS($D$9-$C39))))))</f>
        <v>3.55119167847176</v>
      </c>
    </row>
    <row r="40" customFormat="false" ht="15" hidden="false" customHeight="false" outlineLevel="0" collapsed="false">
      <c r="A40" s="19" t="s">
        <v>109</v>
      </c>
      <c r="B40" s="25" t="n">
        <v>33.956</v>
      </c>
      <c r="C40" s="25" t="n">
        <v>-83.988</v>
      </c>
      <c r="D40" s="20" t="n">
        <f aca="false">IF(AND($B40=$C$4,$C40=$D$4),0,MAX(0.25,Assumptions!$B$17+Assumptions!$B$18*3958.8*ACOS(MIN(1,SIN(RADIANS($B40))*SIN(RADIANS($C$4))+COS(RADIANS($B40))*COS(RADIANS($C$4))*COS(RADIANS($D$4-$C40))))))</f>
        <v>1.68220890213356</v>
      </c>
      <c r="E40" s="20" t="n">
        <f aca="false">IF(AND($B40=$C$5,$C40=$D$5),0,MAX(0.25,Assumptions!$B$17+Assumptions!$B$18*3958.8*ACOS(MIN(1,SIN(RADIANS($B40))*SIN(RADIANS($C$5))+COS(RADIANS($B40))*COS(RADIANS($C$5))*COS(RADIANS($D$5-$C40))))))</f>
        <v>0.693318872805136</v>
      </c>
      <c r="F40" s="20" t="n">
        <f aca="false">IF(AND($B40=$C$6,$C40=$D$6),0,MAX(0.25,Assumptions!$B$17+Assumptions!$B$18*3958.8*ACOS(MIN(1,SIN(RADIANS($B40))*SIN(RADIANS($C$6))+COS(RADIANS($B40))*COS(RADIANS($C$6))*COS(RADIANS($D$6-$C40))))))</f>
        <v>0</v>
      </c>
      <c r="G40" s="20" t="n">
        <f aca="false">IF(AND($B40=$C$7,$C40=$D$7),0,MAX(0.25,Assumptions!$B$17+Assumptions!$B$18*3958.8*ACOS(MIN(1,SIN(RADIANS($B40))*SIN(RADIANS($C$7))+COS(RADIANS($B40))*COS(RADIANS($C$7))*COS(RADIANS($D$7-$C40))))))</f>
        <v>3.24433243412979</v>
      </c>
      <c r="H40" s="20" t="n">
        <f aca="false">IF(AND($B40=$C$8,$C40=$D$8),0,MAX(0.25,Assumptions!$B$17+Assumptions!$B$18*3958.8*ACOS(MIN(1,SIN(RADIANS($B40))*SIN(RADIANS($C$8))+COS(RADIANS($B40))*COS(RADIANS($C$8))*COS(RADIANS($D$8-$C40))))))</f>
        <v>1.06675664711398</v>
      </c>
      <c r="I40" s="20" t="n">
        <f aca="false">IF(AND($B40=$C$9,$C40=$D$9),0,MAX(0.25,Assumptions!$B$17+Assumptions!$B$18*3958.8*ACOS(MIN(1,SIN(RADIANS($B40))*SIN(RADIANS($C$9))+COS(RADIANS($B40))*COS(RADIANS($C$9))*COS(RADIANS($D$9-$C40))))))</f>
        <v>1.68874541305665</v>
      </c>
    </row>
    <row r="41" customFormat="false" ht="15" hidden="false" customHeight="false" outlineLevel="0" collapsed="false">
      <c r="A41" s="19" t="s">
        <v>399</v>
      </c>
      <c r="B41" s="25" t="n">
        <v>33.794</v>
      </c>
      <c r="C41" s="25" t="n">
        <v>-84.66</v>
      </c>
      <c r="D41" s="20" t="n">
        <f aca="false">IF(AND($B41=$C$4,$C41=$D$4),0,MAX(0.25,Assumptions!$B$17+Assumptions!$B$18*3958.8*ACOS(MIN(1,SIN(RADIANS($B41))*SIN(RADIANS($C$4))+COS(RADIANS($B41))*COS(RADIANS($C$4))*COS(RADIANS($D$4-$C41))))))</f>
        <v>1.50525695736028</v>
      </c>
      <c r="E41" s="20" t="n">
        <f aca="false">IF(AND($B41=$C$5,$C41=$D$5),0,MAX(0.25,Assumptions!$B$17+Assumptions!$B$18*3958.8*ACOS(MIN(1,SIN(RADIANS($B41))*SIN(RADIANS($C$5))+COS(RADIANS($B41))*COS(RADIANS($C$5))*COS(RADIANS($D$5-$C41))))))</f>
        <v>1.31223524890096</v>
      </c>
      <c r="F41" s="20" t="n">
        <f aca="false">IF(AND($B41=$C$6,$C41=$D$6),0,MAX(0.25,Assumptions!$B$17+Assumptions!$B$18*3958.8*ACOS(MIN(1,SIN(RADIANS($B41))*SIN(RADIANS($C$6))+COS(RADIANS($B41))*COS(RADIANS($C$6))*COS(RADIANS($D$6-$C41))))))</f>
        <v>0.963099914851781</v>
      </c>
      <c r="G41" s="20" t="n">
        <f aca="false">IF(AND($B41=$C$7,$C41=$D$7),0,MAX(0.25,Assumptions!$B$17+Assumptions!$B$18*3958.8*ACOS(MIN(1,SIN(RADIANS($B41))*SIN(RADIANS($C$7))+COS(RADIANS($B41))*COS(RADIANS($C$7))*COS(RADIANS($D$7-$C41))))))</f>
        <v>3.08479422615684</v>
      </c>
      <c r="H41" s="20" t="n">
        <f aca="false">IF(AND($B41=$C$8,$C41=$D$8),0,MAX(0.25,Assumptions!$B$17+Assumptions!$B$18*3958.8*ACOS(MIN(1,SIN(RADIANS($B41))*SIN(RADIANS($C$8))+COS(RADIANS($B41))*COS(RADIANS($C$8))*COS(RADIANS($D$8-$C41))))))</f>
        <v>0.333858942899955</v>
      </c>
      <c r="I41" s="20" t="n">
        <f aca="false">IF(AND($B41=$C$9,$C41=$D$9),0,MAX(0.25,Assumptions!$B$17+Assumptions!$B$18*3958.8*ACOS(MIN(1,SIN(RADIANS($B41))*SIN(RADIANS($C$9))+COS(RADIANS($B41))*COS(RADIANS($C$9))*COS(RADIANS($D$9-$C41))))))</f>
        <v>1.85222286413779</v>
      </c>
    </row>
    <row r="42" customFormat="false" ht="15" hidden="false" customHeight="false" outlineLevel="0" collapsed="false">
      <c r="A42" s="19" t="s">
        <v>310</v>
      </c>
      <c r="B42" s="25" t="n">
        <v>33.953</v>
      </c>
      <c r="C42" s="25" t="n">
        <v>-84.55</v>
      </c>
      <c r="D42" s="20" t="n">
        <f aca="false">IF(AND($B42=$C$4,$C42=$D$4),0,MAX(0.25,Assumptions!$B$17+Assumptions!$B$18*3958.8*ACOS(MIN(1,SIN(RADIANS($B42))*SIN(RADIANS($C$4))+COS(RADIANS($B42))*COS(RADIANS($C$4))*COS(RADIANS($D$4-$C42))))))</f>
        <v>1.35133796113295</v>
      </c>
      <c r="E42" s="20" t="n">
        <f aca="false">IF(AND($B42=$C$5,$C42=$D$5),0,MAX(0.25,Assumptions!$B$17+Assumptions!$B$18*3958.8*ACOS(MIN(1,SIN(RADIANS($B42))*SIN(RADIANS($C$5))+COS(RADIANS($B42))*COS(RADIANS($C$5))*COS(RADIANS($D$5-$C42))))))</f>
        <v>1.1049457523818</v>
      </c>
      <c r="F42" s="20" t="n">
        <f aca="false">IF(AND($B42=$C$6,$C42=$D$6),0,MAX(0.25,Assumptions!$B$17+Assumptions!$B$18*3958.8*ACOS(MIN(1,SIN(RADIANS($B42))*SIN(RADIANS($C$6))+COS(RADIANS($B42))*COS(RADIANS($C$6))*COS(RADIANS($D$6-$C42))))))</f>
        <v>0.817711490398224</v>
      </c>
      <c r="G42" s="20" t="n">
        <f aca="false">IF(AND($B42=$C$7,$C42=$D$7),0,MAX(0.25,Assumptions!$B$17+Assumptions!$B$18*3958.8*ACOS(MIN(1,SIN(RADIANS($B42))*SIN(RADIANS($C$7))+COS(RADIANS($B42))*COS(RADIANS($C$7))*COS(RADIANS($D$7-$C42))))))</f>
        <v>3.26434201766974</v>
      </c>
      <c r="H42" s="20" t="n">
        <f aca="false">IF(AND($B42=$C$8,$C42=$D$8),0,MAX(0.25,Assumptions!$B$17+Assumptions!$B$18*3958.8*ACOS(MIN(1,SIN(RADIANS($B42))*SIN(RADIANS($C$8))+COS(RADIANS($B42))*COS(RADIANS($C$8))*COS(RADIANS($D$8-$C42))))))</f>
        <v>0.556516364828724</v>
      </c>
      <c r="I42" s="20" t="n">
        <f aca="false">IF(AND($B42=$C$9,$C42=$D$9),0,MAX(0.25,Assumptions!$B$17+Assumptions!$B$18*3958.8*ACOS(MIN(1,SIN(RADIANS($B42))*SIN(RADIANS($C$9))+COS(RADIANS($B42))*COS(RADIANS($C$9))*COS(RADIANS($D$9-$C42))))))</f>
        <v>1.93772093280634</v>
      </c>
    </row>
    <row r="43" customFormat="false" ht="15" hidden="false" customHeight="false" outlineLevel="0" collapsed="false">
      <c r="A43" s="19" t="s">
        <v>384</v>
      </c>
      <c r="B43" s="25" t="n">
        <v>33.941</v>
      </c>
      <c r="C43" s="25" t="n">
        <v>-84.214</v>
      </c>
      <c r="D43" s="20" t="n">
        <f aca="false">IF(AND($B43=$C$4,$C43=$D$4),0,MAX(0.25,Assumptions!$B$17+Assumptions!$B$18*3958.8*ACOS(MIN(1,SIN(RADIANS($B43))*SIN(RADIANS($C$4))+COS(RADIANS($B43))*COS(RADIANS($C$4))*COS(RADIANS($D$4-$C43))))))</f>
        <v>1.54149525344234</v>
      </c>
      <c r="E43" s="20" t="n">
        <f aca="false">IF(AND($B43=$C$5,$C43=$D$5),0,MAX(0.25,Assumptions!$B$17+Assumptions!$B$18*3958.8*ACOS(MIN(1,SIN(RADIANS($B43))*SIN(RADIANS($C$5))+COS(RADIANS($B43))*COS(RADIANS($C$5))*COS(RADIANS($D$5-$C43))))))</f>
        <v>0.836920279556042</v>
      </c>
      <c r="F43" s="20" t="n">
        <f aca="false">IF(AND($B43=$C$6,$C43=$D$6),0,MAX(0.25,Assumptions!$B$17+Assumptions!$B$18*3958.8*ACOS(MIN(1,SIN(RADIANS($B43))*SIN(RADIANS($C$6))+COS(RADIANS($B43))*COS(RADIANS($C$6))*COS(RADIANS($D$6-$C43))))))</f>
        <v>0.465496114178186</v>
      </c>
      <c r="G43" s="20" t="n">
        <f aca="false">IF(AND($B43=$C$7,$C43=$D$7),0,MAX(0.25,Assumptions!$B$17+Assumptions!$B$18*3958.8*ACOS(MIN(1,SIN(RADIANS($B43))*SIN(RADIANS($C$7))+COS(RADIANS($B43))*COS(RADIANS($C$7))*COS(RADIANS($D$7-$C43))))))</f>
        <v>3.22066436265257</v>
      </c>
      <c r="H43" s="20" t="n">
        <f aca="false">IF(AND($B43=$C$8,$C43=$D$8),0,MAX(0.25,Assumptions!$B$17+Assumptions!$B$18*3958.8*ACOS(MIN(1,SIN(RADIANS($B43))*SIN(RADIANS($C$8))+COS(RADIANS($B43))*COS(RADIANS($C$8))*COS(RADIANS($D$8-$C43))))))</f>
        <v>0.837405698787644</v>
      </c>
      <c r="I43" s="20" t="n">
        <f aca="false">IF(AND($B43=$C$9,$C43=$D$9),0,MAX(0.25,Assumptions!$B$17+Assumptions!$B$18*3958.8*ACOS(MIN(1,SIN(RADIANS($B43))*SIN(RADIANS($C$9))+COS(RADIANS($B43))*COS(RADIANS($C$9))*COS(RADIANS($D$9-$C43))))))</f>
        <v>1.75031581989597</v>
      </c>
    </row>
    <row r="44" customFormat="false" ht="15" hidden="false" customHeight="false" outlineLevel="0" collapsed="false">
      <c r="A44" s="19" t="s">
        <v>334</v>
      </c>
      <c r="B44" s="25" t="n">
        <v>32.458</v>
      </c>
      <c r="C44" s="25" t="n">
        <v>-83.731</v>
      </c>
      <c r="D44" s="20" t="n">
        <f aca="false">IF(AND($B44=$C$4,$C44=$D$4),0,MAX(0.25,Assumptions!$B$17+Assumptions!$B$18*3958.8*ACOS(MIN(1,SIN(RADIANS($B44))*SIN(RADIANS($C$4))+COS(RADIANS($B44))*COS(RADIANS($C$4))*COS(RADIANS($D$4-$C44))))))</f>
        <v>3.43372145845215</v>
      </c>
      <c r="E44" s="20" t="n">
        <f aca="false">IF(AND($B44=$C$5,$C44=$D$5),0,MAX(0.25,Assumptions!$B$17+Assumptions!$B$18*3958.8*ACOS(MIN(1,SIN(RADIANS($B44))*SIN(RADIANS($C$5))+COS(RADIANS($B44))*COS(RADIANS($C$5))*COS(RADIANS($D$5-$C44))))))</f>
        <v>2.55972466637452</v>
      </c>
      <c r="F44" s="20" t="n">
        <f aca="false">IF(AND($B44=$C$6,$C44=$D$6),0,MAX(0.25,Assumptions!$B$17+Assumptions!$B$18*3958.8*ACOS(MIN(1,SIN(RADIANS($B44))*SIN(RADIANS($C$6))+COS(RADIANS($B44))*COS(RADIANS($C$6))*COS(RADIANS($D$6-$C44))))))</f>
        <v>2.1439532483734</v>
      </c>
      <c r="G44" s="20" t="n">
        <f aca="false">IF(AND($B44=$C$7,$C44=$D$7),0,MAX(0.25,Assumptions!$B$17+Assumptions!$B$18*3958.8*ACOS(MIN(1,SIN(RADIANS($B44))*SIN(RADIANS($C$7))+COS(RADIANS($B44))*COS(RADIANS($C$7))*COS(RADIANS($D$7-$C44))))))</f>
        <v>1.43163340615726</v>
      </c>
      <c r="H44" s="20" t="n">
        <f aca="false">IF(AND($B44=$C$8,$C44=$D$8),0,MAX(0.25,Assumptions!$B$17+Assumptions!$B$18*3958.8*ACOS(MIN(1,SIN(RADIANS($B44))*SIN(RADIANS($C$8))+COS(RADIANS($B44))*COS(RADIANS($C$8))*COS(RADIANS($D$8-$C44))))))</f>
        <v>2.18775379097815</v>
      </c>
      <c r="I44" s="20" t="n">
        <f aca="false">IF(AND($B44=$C$9,$C44=$D$9),0,MAX(0.25,Assumptions!$B$17+Assumptions!$B$18*3958.8*ACOS(MIN(1,SIN(RADIANS($B44))*SIN(RADIANS($C$9))+COS(RADIANS($B44))*COS(RADIANS($C$9))*COS(RADIANS($D$9-$C44))))))</f>
        <v>0.72372277149611</v>
      </c>
    </row>
    <row r="45" customFormat="false" ht="15" hidden="false" customHeight="false" outlineLevel="0" collapsed="false">
      <c r="A45" s="19" t="s">
        <v>395</v>
      </c>
      <c r="B45" s="25" t="n">
        <v>31.938</v>
      </c>
      <c r="C45" s="25" t="n">
        <v>-81.303</v>
      </c>
      <c r="D45" s="20" t="n">
        <f aca="false">IF(AND($B45=$C$4,$C45=$D$4),0,MAX(0.25,Assumptions!$B$17+Assumptions!$B$18*3958.8*ACOS(MIN(1,SIN(RADIANS($B45))*SIN(RADIANS($C$4))+COS(RADIANS($B45))*COS(RADIANS($C$4))*COS(RADIANS($D$4-$C45))))))</f>
        <v>5.50979366406102</v>
      </c>
      <c r="E45" s="20" t="n">
        <f aca="false">IF(AND($B45=$C$5,$C45=$D$5),0,MAX(0.25,Assumptions!$B$17+Assumptions!$B$18*3958.8*ACOS(MIN(1,SIN(RADIANS($B45))*SIN(RADIANS($C$5))+COS(RADIANS($B45))*COS(RADIANS($C$5))*COS(RADIANS($D$5-$C45))))))</f>
        <v>4.23755071896351</v>
      </c>
      <c r="F45" s="20" t="n">
        <f aca="false">IF(AND($B45=$C$6,$C45=$D$6),0,MAX(0.25,Assumptions!$B$17+Assumptions!$B$18*3958.8*ACOS(MIN(1,SIN(RADIANS($B45))*SIN(RADIANS($C$6))+COS(RADIANS($B45))*COS(RADIANS($C$6))*COS(RADIANS($D$6-$C45))))))</f>
        <v>4.05783280511952</v>
      </c>
      <c r="G45" s="20" t="n">
        <f aca="false">IF(AND($B45=$C$7,$C45=$D$7),0,MAX(0.25,Assumptions!$B$17+Assumptions!$B$18*3958.8*ACOS(MIN(1,SIN(RADIANS($B45))*SIN(RADIANS($C$7))+COS(RADIANS($B45))*COS(RADIANS($C$7))*COS(RADIANS($D$7-$C45))))))</f>
        <v>3.33316933750237</v>
      </c>
      <c r="H45" s="20" t="n">
        <f aca="false">IF(AND($B45=$C$8,$C45=$D$8),0,MAX(0.25,Assumptions!$B$17+Assumptions!$B$18*3958.8*ACOS(MIN(1,SIN(RADIANS($B45))*SIN(RADIANS($C$8))+COS(RADIANS($B45))*COS(RADIANS($C$8))*COS(RADIANS($D$8-$C45))))))</f>
        <v>4.55136882067694</v>
      </c>
      <c r="I45" s="20" t="n">
        <f aca="false">IF(AND($B45=$C$9,$C45=$D$9),0,MAX(0.25,Assumptions!$B$17+Assumptions!$B$18*3958.8*ACOS(MIN(1,SIN(RADIANS($B45))*SIN(RADIANS($C$9))+COS(RADIANS($B45))*COS(RADIANS($C$9))*COS(RADIANS($D$9-$C45))))))</f>
        <v>2.96798529306794</v>
      </c>
    </row>
    <row r="46" customFormat="false" ht="15" hidden="false" customHeight="false" outlineLevel="0" collapsed="false">
      <c r="A46" s="19" t="s">
        <v>340</v>
      </c>
      <c r="B46" s="25" t="n">
        <v>34.023</v>
      </c>
      <c r="C46" s="25" t="n">
        <v>-84.362</v>
      </c>
      <c r="D46" s="20" t="n">
        <f aca="false">IF(AND($B46=$C$4,$C46=$D$4),0,MAX(0.25,Assumptions!$B$17+Assumptions!$B$18*3958.8*ACOS(MIN(1,SIN(RADIANS($B46))*SIN(RADIANS($C$4))+COS(RADIANS($B46))*COS(RADIANS($C$4))*COS(RADIANS($D$4-$C46))))))</f>
        <v>1.36692890493028</v>
      </c>
      <c r="E46" s="20" t="n">
        <f aca="false">IF(AND($B46=$C$5,$C46=$D$5),0,MAX(0.25,Assumptions!$B$17+Assumptions!$B$18*3958.8*ACOS(MIN(1,SIN(RADIANS($B46))*SIN(RADIANS($C$5))+COS(RADIANS($B46))*COS(RADIANS($C$5))*COS(RADIANS($D$5-$C46))))))</f>
        <v>0.890013073948477</v>
      </c>
      <c r="F46" s="20" t="n">
        <f aca="false">IF(AND($B46=$C$6,$C46=$D$6),0,MAX(0.25,Assumptions!$B$17+Assumptions!$B$18*3958.8*ACOS(MIN(1,SIN(RADIANS($B46))*SIN(RADIANS($C$6))+COS(RADIANS($B46))*COS(RADIANS($C$6))*COS(RADIANS($D$6-$C46))))))</f>
        <v>0.629100062844653</v>
      </c>
      <c r="G46" s="20" t="n">
        <f aca="false">IF(AND($B46=$C$7,$C46=$D$7),0,MAX(0.25,Assumptions!$B$17+Assumptions!$B$18*3958.8*ACOS(MIN(1,SIN(RADIANS($B46))*SIN(RADIANS($C$7))+COS(RADIANS($B46))*COS(RADIANS($C$7))*COS(RADIANS($D$7-$C46))))))</f>
        <v>3.33163279122482</v>
      </c>
      <c r="H46" s="20" t="n">
        <f aca="false">IF(AND($B46=$C$8,$C46=$D$8),0,MAX(0.25,Assumptions!$B$17+Assumptions!$B$18*3958.8*ACOS(MIN(1,SIN(RADIANS($B46))*SIN(RADIANS($C$8))+COS(RADIANS($B46))*COS(RADIANS($C$8))*COS(RADIANS($D$8-$C46))))))</f>
        <v>0.758820234430788</v>
      </c>
      <c r="I46" s="20" t="n">
        <f aca="false">IF(AND($B46=$C$9,$C46=$D$9),0,MAX(0.25,Assumptions!$B$17+Assumptions!$B$18*3958.8*ACOS(MIN(1,SIN(RADIANS($B46))*SIN(RADIANS($C$9))+COS(RADIANS($B46))*COS(RADIANS($C$9))*COS(RADIANS($D$9-$C46))))))</f>
        <v>1.91142103103438</v>
      </c>
    </row>
    <row r="47" customFormat="false" ht="15" hidden="false" customHeight="false" outlineLevel="0" collapsed="false">
      <c r="A47" s="19" t="s">
        <v>379</v>
      </c>
      <c r="B47" s="25" t="n">
        <v>32.081</v>
      </c>
      <c r="C47" s="25" t="n">
        <v>-81.091</v>
      </c>
      <c r="D47" s="20" t="n">
        <f aca="false">IF(AND($B47=$C$4,$C47=$D$4),0,MAX(0.25,Assumptions!$B$17+Assumptions!$B$18*3958.8*ACOS(MIN(1,SIN(RADIANS($B47))*SIN(RADIANS($C$4))+COS(RADIANS($B47))*COS(RADIANS($C$4))*COS(RADIANS($D$4-$C47))))))</f>
        <v>5.55651708916037</v>
      </c>
      <c r="E47" s="20" t="n">
        <f aca="false">IF(AND($B47=$C$5,$C47=$D$5),0,MAX(0.25,Assumptions!$B$17+Assumptions!$B$18*3958.8*ACOS(MIN(1,SIN(RADIANS($B47))*SIN(RADIANS($C$5))+COS(RADIANS($B47))*COS(RADIANS($C$5))*COS(RADIANS($D$5-$C47))))))</f>
        <v>4.2611128560881</v>
      </c>
      <c r="F47" s="20" t="n">
        <f aca="false">IF(AND($B47=$C$6,$C47=$D$6),0,MAX(0.25,Assumptions!$B$17+Assumptions!$B$18*3958.8*ACOS(MIN(1,SIN(RADIANS($B47))*SIN(RADIANS($C$6))+COS(RADIANS($B47))*COS(RADIANS($C$6))*COS(RADIANS($D$6-$C47))))))</f>
        <v>4.11332965502085</v>
      </c>
      <c r="G47" s="20" t="n">
        <f aca="false">IF(AND($B47=$C$7,$C47=$D$7),0,MAX(0.25,Assumptions!$B$17+Assumptions!$B$18*3958.8*ACOS(MIN(1,SIN(RADIANS($B47))*SIN(RADIANS($C$7))+COS(RADIANS($B47))*COS(RADIANS($C$7))*COS(RADIANS($D$7-$C47))))))</f>
        <v>3.58619729466056</v>
      </c>
      <c r="H47" s="20" t="n">
        <f aca="false">IF(AND($B47=$C$8,$C47=$D$8),0,MAX(0.25,Assumptions!$B$17+Assumptions!$B$18*3958.8*ACOS(MIN(1,SIN(RADIANS($B47))*SIN(RADIANS($C$8))+COS(RADIANS($B47))*COS(RADIANS($C$8))*COS(RADIANS($D$8-$C47))))))</f>
        <v>4.65202707112456</v>
      </c>
      <c r="I47" s="20" t="n">
        <f aca="false">IF(AND($B47=$C$9,$C47=$D$9),0,MAX(0.25,Assumptions!$B$17+Assumptions!$B$18*3958.8*ACOS(MIN(1,SIN(RADIANS($B47))*SIN(RADIANS($C$9))+COS(RADIANS($B47))*COS(RADIANS($C$9))*COS(RADIANS($D$9-$C47))))))</f>
        <v>3.10809863685808</v>
      </c>
    </row>
    <row r="48" customFormat="false" ht="15" hidden="false" customHeight="false" outlineLevel="0" collapsed="false">
      <c r="A48" s="19" t="s">
        <v>370</v>
      </c>
      <c r="B48" s="25" t="n">
        <v>32.449</v>
      </c>
      <c r="C48" s="25" t="n">
        <v>-81.783</v>
      </c>
      <c r="D48" s="20" t="n">
        <f aca="false">IF(AND($B48=$C$4,$C48=$D$4),0,MAX(0.25,Assumptions!$B$17+Assumptions!$B$18*3958.8*ACOS(MIN(1,SIN(RADIANS($B48))*SIN(RADIANS($C$4))+COS(RADIANS($B48))*COS(RADIANS($C$4))*COS(RADIANS($D$4-$C48))))))</f>
        <v>4.69233039148497</v>
      </c>
      <c r="E48" s="20" t="n">
        <f aca="false">IF(AND($B48=$C$5,$C48=$D$5),0,MAX(0.25,Assumptions!$B$17+Assumptions!$B$18*3958.8*ACOS(MIN(1,SIN(RADIANS($B48))*SIN(RADIANS($C$5))+COS(RADIANS($B48))*COS(RADIANS($C$5))*COS(RADIANS($D$5-$C48))))))</f>
        <v>3.41203870660975</v>
      </c>
      <c r="F48" s="20" t="n">
        <f aca="false">IF(AND($B48=$C$6,$C48=$D$6),0,MAX(0.25,Assumptions!$B$17+Assumptions!$B$18*3958.8*ACOS(MIN(1,SIN(RADIANS($B48))*SIN(RADIANS($C$6))+COS(RADIANS($B48))*COS(RADIANS($C$6))*COS(RADIANS($D$6-$C48))))))</f>
        <v>3.24425589588377</v>
      </c>
      <c r="G48" s="20" t="n">
        <f aca="false">IF(AND($B48=$C$7,$C48=$D$7),0,MAX(0.25,Assumptions!$B$17+Assumptions!$B$18*3958.8*ACOS(MIN(1,SIN(RADIANS($B48))*SIN(RADIANS($C$7))+COS(RADIANS($B48))*COS(RADIANS($C$7))*COS(RADIANS($D$7-$C48))))))</f>
        <v>3.00405703776886</v>
      </c>
      <c r="H48" s="20" t="n">
        <f aca="false">IF(AND($B48=$C$8,$C48=$D$8),0,MAX(0.25,Assumptions!$B$17+Assumptions!$B$18*3958.8*ACOS(MIN(1,SIN(RADIANS($B48))*SIN(RADIANS($C$8))+COS(RADIANS($B48))*COS(RADIANS($C$8))*COS(RADIANS($D$8-$C48))))))</f>
        <v>3.77788607175313</v>
      </c>
      <c r="I48" s="20" t="n">
        <f aca="false">IF(AND($B48=$C$9,$C48=$D$9),0,MAX(0.25,Assumptions!$B$17+Assumptions!$B$18*3958.8*ACOS(MIN(1,SIN(RADIANS($B48))*SIN(RADIANS($C$9))+COS(RADIANS($B48))*COS(RADIANS($C$9))*COS(RADIANS($D$9-$C48))))))</f>
        <v>2.26062780341298</v>
      </c>
    </row>
    <row r="49" customFormat="false" ht="15" hidden="false" customHeight="false" outlineLevel="0" collapsed="false">
      <c r="A49" s="19" t="s">
        <v>317</v>
      </c>
      <c r="B49" s="25" t="n">
        <v>34.106</v>
      </c>
      <c r="C49" s="25" t="n">
        <v>-84.033</v>
      </c>
      <c r="D49" s="20" t="n">
        <f aca="false">IF(AND($B49=$C$4,$C49=$D$4),0,MAX(0.25,Assumptions!$B$17+Assumptions!$B$18*3958.8*ACOS(MIN(1,SIN(RADIANS($B49))*SIN(RADIANS($C$4))+COS(RADIANS($B49))*COS(RADIANS($C$4))*COS(RADIANS($D$4-$C49))))))</f>
        <v>1.51767399894205</v>
      </c>
      <c r="E49" s="20" t="n">
        <f aca="false">IF(AND($B49=$C$5,$C49=$D$5),0,MAX(0.25,Assumptions!$B$17+Assumptions!$B$18*3958.8*ACOS(MIN(1,SIN(RADIANS($B49))*SIN(RADIANS($C$5))+COS(RADIANS($B49))*COS(RADIANS($C$5))*COS(RADIANS($D$5-$C49))))))</f>
        <v>0.554494768903824</v>
      </c>
      <c r="F49" s="20" t="n">
        <f aca="false">IF(AND($B49=$C$6,$C49=$D$6),0,MAX(0.25,Assumptions!$B$17+Assumptions!$B$18*3958.8*ACOS(MIN(1,SIN(RADIANS($B49))*SIN(RADIANS($C$6))+COS(RADIANS($B49))*COS(RADIANS($C$6))*COS(RADIANS($D$6-$C49))))))</f>
        <v>0.423057530945624</v>
      </c>
      <c r="G49" s="20" t="n">
        <f aca="false">IF(AND($B49=$C$7,$C49=$D$7),0,MAX(0.25,Assumptions!$B$17+Assumptions!$B$18*3958.8*ACOS(MIN(1,SIN(RADIANS($B49))*SIN(RADIANS($C$7))+COS(RADIANS($B49))*COS(RADIANS($C$7))*COS(RADIANS($D$7-$C49))))))</f>
        <v>3.43167173833438</v>
      </c>
      <c r="H49" s="20" t="n">
        <f aca="false">IF(AND($B49=$C$8,$C49=$D$8),0,MAX(0.25,Assumptions!$B$17+Assumptions!$B$18*3958.8*ACOS(MIN(1,SIN(RADIANS($B49))*SIN(RADIANS($C$8))+COS(RADIANS($B49))*COS(RADIANS($C$8))*COS(RADIANS($D$8-$C49))))))</f>
        <v>1.1020023481854</v>
      </c>
      <c r="I49" s="20" t="n">
        <f aca="false">IF(AND($B49=$C$9,$C49=$D$9),0,MAX(0.25,Assumptions!$B$17+Assumptions!$B$18*3958.8*ACOS(MIN(1,SIN(RADIANS($B49))*SIN(RADIANS($C$9))+COS(RADIANS($B49))*COS(RADIANS($C$9))*COS(RADIANS($D$9-$C49))))))</f>
        <v>1.88447258316344</v>
      </c>
    </row>
    <row r="50" customFormat="false" ht="15" hidden="false" customHeight="false" outlineLevel="0" collapsed="false">
      <c r="A50" s="19" t="s">
        <v>307</v>
      </c>
      <c r="B50" s="25" t="n">
        <v>34.051</v>
      </c>
      <c r="C50" s="25" t="n">
        <v>-84.071</v>
      </c>
      <c r="D50" s="20" t="n">
        <f aca="false">IF(AND($B50=$C$4,$C50=$D$4),0,MAX(0.25,Assumptions!$B$17+Assumptions!$B$18*3958.8*ACOS(MIN(1,SIN(RADIANS($B50))*SIN(RADIANS($C$4))+COS(RADIANS($B50))*COS(RADIANS($C$4))*COS(RADIANS($D$4-$C50))))))</f>
        <v>1.535556028279</v>
      </c>
      <c r="E50" s="20" t="n">
        <f aca="false">IF(AND($B50=$C$5,$C50=$D$5),0,MAX(0.25,Assumptions!$B$17+Assumptions!$B$18*3958.8*ACOS(MIN(1,SIN(RADIANS($B50))*SIN(RADIANS($C$5))+COS(RADIANS($B50))*COS(RADIANS($C$5))*COS(RADIANS($D$5-$C50))))))</f>
        <v>0.633305945711017</v>
      </c>
      <c r="F50" s="20" t="n">
        <f aca="false">IF(AND($B50=$C$6,$C50=$D$6),0,MAX(0.25,Assumptions!$B$17+Assumptions!$B$18*3958.8*ACOS(MIN(1,SIN(RADIANS($B50))*SIN(RADIANS($C$6))+COS(RADIANS($B50))*COS(RADIANS($C$6))*COS(RADIANS($D$6-$C50))))))</f>
        <v>0.375860640784249</v>
      </c>
      <c r="G50" s="20" t="n">
        <f aca="false">IF(AND($B50=$C$7,$C50=$D$7),0,MAX(0.25,Assumptions!$B$17+Assumptions!$B$18*3958.8*ACOS(MIN(1,SIN(RADIANS($B50))*SIN(RADIANS($C$7))+COS(RADIANS($B50))*COS(RADIANS($C$7))*COS(RADIANS($D$7-$C50))))))</f>
        <v>3.36064753209562</v>
      </c>
      <c r="H50" s="20" t="n">
        <f aca="false">IF(AND($B50=$C$8,$C50=$D$8),0,MAX(0.25,Assumptions!$B$17+Assumptions!$B$18*3958.8*ACOS(MIN(1,SIN(RADIANS($B50))*SIN(RADIANS($C$8))+COS(RADIANS($B50))*COS(RADIANS($C$8))*COS(RADIANS($D$8-$C50))))))</f>
        <v>1.03310311394318</v>
      </c>
      <c r="I50" s="20" t="n">
        <f aca="false">IF(AND($B50=$C$9,$C50=$D$9),0,MAX(0.25,Assumptions!$B$17+Assumptions!$B$18*3958.8*ACOS(MIN(1,SIN(RADIANS($B50))*SIN(RADIANS($C$9))+COS(RADIANS($B50))*COS(RADIANS($C$9))*COS(RADIANS($D$9-$C50))))))</f>
        <v>1.82843538408255</v>
      </c>
    </row>
    <row r="51" customFormat="false" ht="15" hidden="false" customHeight="false" outlineLevel="0" collapsed="false">
      <c r="A51" s="19" t="s">
        <v>374</v>
      </c>
      <c r="B51" s="25" t="n">
        <v>33.471</v>
      </c>
      <c r="C51" s="25" t="n">
        <v>-82.504</v>
      </c>
      <c r="D51" s="20" t="n">
        <f aca="false">IF(AND($B51=$C$4,$C51=$D$4),0,MAX(0.25,Assumptions!$B$17+Assumptions!$B$18*3958.8*ACOS(MIN(1,SIN(RADIANS($B51))*SIN(RADIANS($C$4))+COS(RADIANS($B51))*COS(RADIANS($C$4))*COS(RADIANS($D$4-$C51))))))</f>
        <v>3.29172125926675</v>
      </c>
      <c r="E51" s="20" t="n">
        <f aca="false">IF(AND($B51=$C$5,$C51=$D$5),0,MAX(0.25,Assumptions!$B$17+Assumptions!$B$18*3958.8*ACOS(MIN(1,SIN(RADIANS($B51))*SIN(RADIANS($C$5))+COS(RADIANS($B51))*COS(RADIANS($C$5))*COS(RADIANS($D$5-$C51))))))</f>
        <v>1.96598775135748</v>
      </c>
      <c r="F51" s="20" t="n">
        <f aca="false">IF(AND($B51=$C$6,$C51=$D$6),0,MAX(0.25,Assumptions!$B$17+Assumptions!$B$18*3958.8*ACOS(MIN(1,SIN(RADIANS($B51))*SIN(RADIANS($C$6))+COS(RADIANS($B51))*COS(RADIANS($C$6))*COS(RADIANS($D$6-$C51))))))</f>
        <v>1.90701047655683</v>
      </c>
      <c r="G51" s="20" t="n">
        <f aca="false">IF(AND($B51=$C$7,$C51=$D$7),0,MAX(0.25,Assumptions!$B$17+Assumptions!$B$18*3958.8*ACOS(MIN(1,SIN(RADIANS($B51))*SIN(RADIANS($C$7))+COS(RADIANS($B51))*COS(RADIANS($C$7))*COS(RADIANS($D$7-$C51))))))</f>
        <v>3.2037504967644</v>
      </c>
      <c r="H51" s="20" t="n">
        <f aca="false">IF(AND($B51=$C$8,$C51=$D$8),0,MAX(0.25,Assumptions!$B$17+Assumptions!$B$18*3958.8*ACOS(MIN(1,SIN(RADIANS($B51))*SIN(RADIANS($C$8))+COS(RADIANS($B51))*COS(RADIANS($C$8))*COS(RADIANS($D$8-$C51))))))</f>
        <v>2.61949578653708</v>
      </c>
      <c r="I51" s="20" t="n">
        <f aca="false">IF(AND($B51=$C$9,$C51=$D$9),0,MAX(0.25,Assumptions!$B$17+Assumptions!$B$18*3958.8*ACOS(MIN(1,SIN(RADIANS($B51))*SIN(RADIANS($C$9))+COS(RADIANS($B51))*COS(RADIANS($C$9))*COS(RADIANS($D$9-$C51))))))</f>
        <v>1.66501245894524</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1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E56"/>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52"/>
    <col collapsed="false" customWidth="true" hidden="false" outlineLevel="0" max="2" min="2" style="0" width="14"/>
    <col collapsed="false" customWidth="true" hidden="false" outlineLevel="0" max="3" min="3" style="0" width="70"/>
    <col collapsed="false" customWidth="true" hidden="false" outlineLevel="0" max="5" min="4" style="0" width="48"/>
  </cols>
  <sheetData>
    <row r="1" customFormat="false" ht="17.35" hidden="false" customHeight="false" outlineLevel="0" collapsed="false">
      <c r="A1" s="4" t="s">
        <v>447</v>
      </c>
    </row>
    <row r="3" customFormat="false" ht="15" hidden="false" customHeight="false" outlineLevel="0" collapsed="false">
      <c r="A3" s="6" t="s">
        <v>448</v>
      </c>
    </row>
    <row r="4" customFormat="false" ht="15" hidden="false" customHeight="false" outlineLevel="0" collapsed="false">
      <c r="A4" s="11" t="s">
        <v>449</v>
      </c>
      <c r="B4" s="31" t="n">
        <v>0.4</v>
      </c>
      <c r="C4" s="11" t="s">
        <v>450</v>
      </c>
    </row>
    <row r="5" customFormat="false" ht="15" hidden="false" customHeight="false" outlineLevel="0" collapsed="false">
      <c r="A5" s="11" t="s">
        <v>451</v>
      </c>
      <c r="B5" s="31" t="n">
        <v>0.25</v>
      </c>
      <c r="C5" s="11" t="s">
        <v>452</v>
      </c>
    </row>
    <row r="6" customFormat="false" ht="15" hidden="false" customHeight="false" outlineLevel="0" collapsed="false">
      <c r="A6" s="11" t="s">
        <v>453</v>
      </c>
      <c r="B6" s="31" t="n">
        <v>0.35</v>
      </c>
      <c r="C6" s="11" t="s">
        <v>454</v>
      </c>
    </row>
    <row r="8" customFormat="false" ht="15" hidden="false" customHeight="false" outlineLevel="0" collapsed="false">
      <c r="A8" s="6" t="s">
        <v>455</v>
      </c>
    </row>
    <row r="9" customFormat="false" ht="15" hidden="false" customHeight="false" outlineLevel="0" collapsed="false">
      <c r="A9" s="11" t="s">
        <v>456</v>
      </c>
      <c r="B9" s="25" t="n">
        <v>79.09</v>
      </c>
      <c r="C9" s="11" t="s">
        <v>457</v>
      </c>
    </row>
    <row r="10" customFormat="false" ht="15" hidden="false" customHeight="false" outlineLevel="0" collapsed="false">
      <c r="A10" s="11" t="s">
        <v>458</v>
      </c>
      <c r="B10" s="25" t="n">
        <v>-19.575</v>
      </c>
      <c r="C10" s="11" t="s">
        <v>459</v>
      </c>
    </row>
    <row r="12" customFormat="false" ht="15" hidden="false" customHeight="false" outlineLevel="0" collapsed="false">
      <c r="A12" s="6" t="s">
        <v>460</v>
      </c>
    </row>
    <row r="13" customFormat="false" ht="15" hidden="false" customHeight="false" outlineLevel="0" collapsed="false">
      <c r="A13" s="11" t="s">
        <v>461</v>
      </c>
      <c r="B13" s="30" t="n">
        <v>50</v>
      </c>
      <c r="C13" s="11" t="s">
        <v>462</v>
      </c>
    </row>
    <row r="14" customFormat="false" ht="15" hidden="false" customHeight="false" outlineLevel="0" collapsed="false">
      <c r="A14" s="11" t="s">
        <v>463</v>
      </c>
      <c r="B14" s="30" t="n">
        <v>60</v>
      </c>
      <c r="C14" s="11" t="s">
        <v>464</v>
      </c>
    </row>
    <row r="16" customFormat="false" ht="15" hidden="false" customHeight="false" outlineLevel="0" collapsed="false">
      <c r="A16" s="6" t="s">
        <v>465</v>
      </c>
    </row>
    <row r="17" customFormat="false" ht="15" hidden="false" customHeight="false" outlineLevel="0" collapsed="false">
      <c r="A17" s="11" t="s">
        <v>466</v>
      </c>
      <c r="B17" s="25" t="n">
        <v>0.2273</v>
      </c>
      <c r="C17" s="11" t="s">
        <v>467</v>
      </c>
    </row>
    <row r="18" customFormat="false" ht="15" hidden="false" customHeight="false" outlineLevel="0" collapsed="false">
      <c r="A18" s="11" t="s">
        <v>468</v>
      </c>
      <c r="B18" s="25" t="n">
        <v>0.01833</v>
      </c>
    </row>
    <row r="20" customFormat="false" ht="15" hidden="false" customHeight="false" outlineLevel="0" collapsed="false">
      <c r="A20" s="11" t="s">
        <v>469</v>
      </c>
      <c r="B20" s="30" t="n">
        <v>3329</v>
      </c>
      <c r="C20" s="11" t="s">
        <v>470</v>
      </c>
    </row>
    <row r="22" customFormat="false" ht="15" hidden="false" customHeight="false" outlineLevel="0" collapsed="false">
      <c r="A22" s="6" t="s">
        <v>471</v>
      </c>
    </row>
    <row r="23" customFormat="false" ht="15" hidden="false" customHeight="false" outlineLevel="0" collapsed="false">
      <c r="A23" s="11" t="s">
        <v>472</v>
      </c>
      <c r="B23" s="25" t="n">
        <v>3</v>
      </c>
      <c r="C23" s="11" t="s">
        <v>473</v>
      </c>
    </row>
    <row r="24" customFormat="false" ht="15" hidden="false" customHeight="false" outlineLevel="0" collapsed="false">
      <c r="A24" s="11" t="s">
        <v>474</v>
      </c>
      <c r="B24" s="25" t="n">
        <v>1</v>
      </c>
    </row>
    <row r="25" customFormat="false" ht="15" hidden="false" customHeight="false" outlineLevel="0" collapsed="false">
      <c r="A25" s="11" t="s">
        <v>475</v>
      </c>
      <c r="B25" s="25" t="n">
        <v>-1</v>
      </c>
    </row>
    <row r="26" customFormat="false" ht="15" hidden="false" customHeight="false" outlineLevel="0" collapsed="false">
      <c r="A26" s="11" t="s">
        <v>476</v>
      </c>
      <c r="B26" s="25" t="n">
        <v>-0.25</v>
      </c>
    </row>
    <row r="28" customFormat="false" ht="15" hidden="false" customHeight="false" outlineLevel="0" collapsed="false">
      <c r="A28" s="6" t="s">
        <v>477</v>
      </c>
    </row>
    <row r="29" customFormat="false" ht="15" hidden="false" customHeight="false" outlineLevel="0" collapsed="false">
      <c r="A29" s="11" t="s">
        <v>478</v>
      </c>
      <c r="B29" s="25" t="n">
        <v>8</v>
      </c>
      <c r="C29" s="11" t="s">
        <v>479</v>
      </c>
    </row>
    <row r="30" customFormat="false" ht="15" hidden="false" customHeight="false" outlineLevel="0" collapsed="false">
      <c r="A30" s="11" t="s">
        <v>480</v>
      </c>
      <c r="B30" s="25" t="n">
        <v>-0.31</v>
      </c>
      <c r="C30" s="11" t="s">
        <v>481</v>
      </c>
    </row>
    <row r="31" customFormat="false" ht="15" hidden="false" customHeight="false" outlineLevel="0" collapsed="false">
      <c r="A31" s="11" t="s">
        <v>482</v>
      </c>
      <c r="B31" s="30" t="n">
        <v>6</v>
      </c>
      <c r="C31" s="11" t="s">
        <v>483</v>
      </c>
    </row>
    <row r="32" customFormat="false" ht="15" hidden="false" customHeight="false" outlineLevel="0" collapsed="false">
      <c r="A32" s="11" t="s">
        <v>484</v>
      </c>
      <c r="B32" s="25" t="n">
        <v>3</v>
      </c>
      <c r="C32" s="11" t="s">
        <v>485</v>
      </c>
    </row>
    <row r="33" customFormat="false" ht="15" hidden="false" customHeight="false" outlineLevel="0" collapsed="false">
      <c r="A33" s="11" t="s">
        <v>486</v>
      </c>
      <c r="B33" s="32" t="n">
        <f aca="false">SQRT(2*B29^2*(1+B30)+(2*B31)^2+B32^2)</f>
        <v>15.5344777833051</v>
      </c>
      <c r="C33" s="11" t="s">
        <v>487</v>
      </c>
    </row>
    <row r="34" customFormat="false" ht="15" hidden="false" customHeight="false" outlineLevel="0" collapsed="false">
      <c r="A34" s="11" t="s">
        <v>488</v>
      </c>
      <c r="B34" s="32" t="n">
        <f aca="false">SQRT(2*B29^2*(1+B30)+(2*B31)^2)</f>
        <v>15.2420471066061</v>
      </c>
      <c r="C34" s="11" t="s">
        <v>489</v>
      </c>
    </row>
    <row r="37" customFormat="false" ht="17.35" hidden="false" customHeight="false" outlineLevel="0" collapsed="false">
      <c r="A37" s="4" t="s">
        <v>490</v>
      </c>
    </row>
    <row r="38" customFormat="false" ht="15" hidden="false" customHeight="false" outlineLevel="0" collapsed="false">
      <c r="A38" s="5" t="s">
        <v>491</v>
      </c>
    </row>
    <row r="40" customFormat="false" ht="15" hidden="false" customHeight="false" outlineLevel="0" collapsed="false">
      <c r="A40" s="7" t="s">
        <v>492</v>
      </c>
      <c r="B40" s="7" t="s">
        <v>493</v>
      </c>
      <c r="C40" s="7" t="s">
        <v>494</v>
      </c>
      <c r="D40" s="7" t="s">
        <v>495</v>
      </c>
      <c r="E40" s="7" t="s">
        <v>496</v>
      </c>
    </row>
    <row r="41" customFormat="false" ht="48.75" hidden="false" customHeight="true" outlineLevel="0" collapsed="false">
      <c r="A41" s="2" t="n">
        <v>1</v>
      </c>
      <c r="B41" s="2" t="s">
        <v>497</v>
      </c>
      <c r="C41" s="2" t="s">
        <v>498</v>
      </c>
      <c r="D41" s="2" t="s">
        <v>499</v>
      </c>
      <c r="E41" s="2" t="s">
        <v>500</v>
      </c>
    </row>
    <row r="42" customFormat="false" ht="33.75" hidden="false" customHeight="true" outlineLevel="0" collapsed="false">
      <c r="A42" s="2" t="n">
        <v>2</v>
      </c>
      <c r="B42" s="2" t="s">
        <v>497</v>
      </c>
      <c r="C42" s="2" t="s">
        <v>501</v>
      </c>
      <c r="D42" s="2" t="s">
        <v>502</v>
      </c>
      <c r="E42" s="2" t="s">
        <v>503</v>
      </c>
    </row>
    <row r="43" customFormat="false" ht="33.75" hidden="false" customHeight="true" outlineLevel="0" collapsed="false">
      <c r="A43" s="2" t="n">
        <v>3</v>
      </c>
      <c r="B43" s="2" t="s">
        <v>497</v>
      </c>
      <c r="C43" s="2" t="s">
        <v>504</v>
      </c>
      <c r="D43" s="2" t="s">
        <v>505</v>
      </c>
      <c r="E43" s="2" t="s">
        <v>506</v>
      </c>
    </row>
    <row r="44" customFormat="false" ht="48.75" hidden="false" customHeight="true" outlineLevel="0" collapsed="false">
      <c r="A44" s="2" t="n">
        <v>4</v>
      </c>
      <c r="B44" s="2" t="s">
        <v>497</v>
      </c>
      <c r="C44" s="2" t="s">
        <v>507</v>
      </c>
      <c r="D44" s="2" t="s">
        <v>508</v>
      </c>
      <c r="E44" s="2" t="s">
        <v>509</v>
      </c>
    </row>
    <row r="45" customFormat="false" ht="48.75" hidden="false" customHeight="true" outlineLevel="0" collapsed="false">
      <c r="A45" s="2" t="n">
        <v>5</v>
      </c>
      <c r="B45" s="2" t="s">
        <v>497</v>
      </c>
      <c r="C45" s="2" t="s">
        <v>510</v>
      </c>
      <c r="D45" s="2" t="s">
        <v>511</v>
      </c>
      <c r="E45" s="2" t="s">
        <v>512</v>
      </c>
    </row>
    <row r="46" customFormat="false" ht="33.75" hidden="false" customHeight="true" outlineLevel="0" collapsed="false">
      <c r="A46" s="2" t="n">
        <v>6</v>
      </c>
      <c r="B46" s="2" t="s">
        <v>497</v>
      </c>
      <c r="C46" s="2" t="s">
        <v>513</v>
      </c>
      <c r="D46" s="2" t="s">
        <v>514</v>
      </c>
      <c r="E46" s="2" t="s">
        <v>515</v>
      </c>
    </row>
    <row r="47" customFormat="false" ht="33.75" hidden="false" customHeight="true" outlineLevel="0" collapsed="false">
      <c r="A47" s="2" t="n">
        <v>7</v>
      </c>
      <c r="B47" s="2" t="s">
        <v>497</v>
      </c>
      <c r="C47" s="2" t="s">
        <v>516</v>
      </c>
      <c r="D47" s="2" t="s">
        <v>517</v>
      </c>
      <c r="E47" s="2" t="s">
        <v>518</v>
      </c>
    </row>
    <row r="48" customFormat="false" ht="48.75" hidden="false" customHeight="true" outlineLevel="0" collapsed="false">
      <c r="A48" s="2" t="n">
        <v>8</v>
      </c>
      <c r="B48" s="2" t="s">
        <v>519</v>
      </c>
      <c r="C48" s="2" t="s">
        <v>520</v>
      </c>
      <c r="D48" s="2" t="s">
        <v>521</v>
      </c>
      <c r="E48" s="2" t="s">
        <v>522</v>
      </c>
    </row>
    <row r="49" customFormat="false" ht="63.75" hidden="false" customHeight="true" outlineLevel="0" collapsed="false">
      <c r="A49" s="2" t="n">
        <v>9</v>
      </c>
      <c r="B49" s="2" t="s">
        <v>523</v>
      </c>
      <c r="C49" s="2" t="s">
        <v>524</v>
      </c>
      <c r="D49" s="2" t="s">
        <v>525</v>
      </c>
      <c r="E49" s="2" t="s">
        <v>526</v>
      </c>
    </row>
    <row r="50" customFormat="false" ht="33.75" hidden="false" customHeight="true" outlineLevel="0" collapsed="false">
      <c r="A50" s="2" t="n">
        <v>10</v>
      </c>
      <c r="B50" s="2" t="s">
        <v>523</v>
      </c>
      <c r="C50" s="2" t="s">
        <v>527</v>
      </c>
      <c r="D50" s="2" t="s">
        <v>528</v>
      </c>
      <c r="E50" s="2" t="s">
        <v>529</v>
      </c>
    </row>
    <row r="51" customFormat="false" ht="33.75" hidden="false" customHeight="true" outlineLevel="0" collapsed="false">
      <c r="A51" s="2" t="n">
        <v>11</v>
      </c>
      <c r="B51" s="2" t="s">
        <v>530</v>
      </c>
      <c r="C51" s="2" t="s">
        <v>531</v>
      </c>
      <c r="D51" s="2" t="s">
        <v>532</v>
      </c>
      <c r="E51" s="2" t="s">
        <v>533</v>
      </c>
    </row>
    <row r="52" customFormat="false" ht="33.75" hidden="false" customHeight="true" outlineLevel="0" collapsed="false">
      <c r="A52" s="2" t="n">
        <v>12</v>
      </c>
      <c r="B52" s="2" t="s">
        <v>530</v>
      </c>
      <c r="C52" s="2" t="s">
        <v>534</v>
      </c>
      <c r="D52" s="2" t="s">
        <v>535</v>
      </c>
      <c r="E52" s="2" t="s">
        <v>536</v>
      </c>
    </row>
    <row r="53" customFormat="false" ht="63.75" hidden="false" customHeight="true" outlineLevel="0" collapsed="false">
      <c r="A53" s="2" t="n">
        <v>13</v>
      </c>
      <c r="B53" s="2" t="s">
        <v>530</v>
      </c>
      <c r="C53" s="2" t="s">
        <v>537</v>
      </c>
      <c r="D53" s="2" t="s">
        <v>538</v>
      </c>
      <c r="E53" s="2" t="s">
        <v>539</v>
      </c>
    </row>
    <row r="54" customFormat="false" ht="48.75" hidden="false" customHeight="true" outlineLevel="0" collapsed="false">
      <c r="A54" s="2" t="n">
        <v>14</v>
      </c>
      <c r="B54" s="2" t="s">
        <v>540</v>
      </c>
      <c r="C54" s="2" t="s">
        <v>541</v>
      </c>
      <c r="D54" s="2" t="s">
        <v>542</v>
      </c>
      <c r="E54" s="2" t="s">
        <v>543</v>
      </c>
    </row>
    <row r="55" customFormat="false" ht="48.75" hidden="false" customHeight="true" outlineLevel="0" collapsed="false">
      <c r="A55" s="2" t="n">
        <v>15</v>
      </c>
      <c r="B55" s="2" t="s">
        <v>544</v>
      </c>
      <c r="C55" s="2" t="s">
        <v>545</v>
      </c>
      <c r="D55" s="2" t="s">
        <v>546</v>
      </c>
      <c r="E55" s="2" t="s">
        <v>547</v>
      </c>
    </row>
    <row r="56" customFormat="false" ht="63.75" hidden="false" customHeight="true" outlineLevel="0" collapsed="false">
      <c r="A56" s="2" t="n">
        <v>16</v>
      </c>
      <c r="B56" s="2" t="s">
        <v>548</v>
      </c>
      <c r="C56" s="2" t="s">
        <v>549</v>
      </c>
      <c r="D56" s="2" t="s">
        <v>550</v>
      </c>
      <c r="E56" s="2" t="s">
        <v>551</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docProps/app.xml><?xml version="1.0" encoding="utf-8"?>
<Properties xmlns="http://schemas.openxmlformats.org/officeDocument/2006/extended-properties" xmlns:vt="http://schemas.openxmlformats.org/officeDocument/2006/docPropsVTypes">
  <Template/>
  <TotalTime>0</TotalTime>
  <Application>LibreOffice/24.2.7.2$Linux_X86_64 LibreOffice_project/420$Build-2</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2026-09-23T17:06:25Z</dcterms:created>
  <dc:creator>openpyxl</dc:creator>
  <dc:description/>
  <dc:language>en-US</dc:language>
  <cp:lastModifiedBy/>
  <dcterms:modified xsi:type="dcterms:W3CDTF">2026-09-23T17:06:25Z</dcterms:modified>
  <cp:revision>0</cp:revision>
  <dc:subject/>
  <dc:title/>
</cp:coreProperties>
</file>

<file path=docProps/custom.xml><?xml version="1.0" encoding="utf-8"?>
<Properties xmlns="http://schemas.openxmlformats.org/officeDocument/2006/custom-properties" xmlns:vt="http://schemas.openxmlformats.org/officeDocument/2006/docPropsVTypes"/>
</file>